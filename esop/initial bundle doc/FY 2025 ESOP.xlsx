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 List ESOP Given" sheetId="1" r:id="rId5"/>
    <sheet state="hidden" name="DHC" sheetId="2" r:id="rId6"/>
    <sheet state="hidden" name="2024- Working" sheetId="3" r:id="rId7"/>
    <sheet state="hidden" name="Final 2024" sheetId="4" r:id="rId8"/>
    <sheet state="visible" name="Final 2025 (Draft)" sheetId="5" r:id="rId9"/>
    <sheet state="visible" name="Table for Factors" sheetId="6" r:id="rId10"/>
    <sheet state="hidden" name="Factors(View)" sheetId="7" r:id="rId11"/>
    <sheet state="visible" name="Trading Rules" sheetId="8" r:id="rId12"/>
    <sheet state="visible" name="Valuation" sheetId="9" r:id="rId13"/>
    <sheet state="visible" name="AA Sale" sheetId="10" r:id="rId14"/>
    <sheet state="visible" name="Hypothetic 2026 ESOP Exercise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Yvonne enlisted to EGPL
</t>
      </text>
    </comment>
    <comment authorId="0" ref="E8">
      <text>
        <t xml:space="preserve">suggest give 50% of yearly cap
Then balance at the end of 5 years, give those who really stay with us over the LONG haul as gradituity BONUS</t>
      </text>
    </comment>
    <comment authorId="0" ref="F8">
      <text>
        <t xml:space="preserve">suggest give 50% of yearly cap
Then balance at the end of 5 years, give those who really stay with us over the LONG haul as gradituity BONUS</t>
      </text>
    </comment>
    <comment authorId="0" ref="G8">
      <text>
        <t xml:space="preserve">suggest give 50% of yearly cap
Then balance at the end of 5 years, give those who really stay with us over the LONG haul as gradituity BONUS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tc={0f407e59-5105-45f6-9865-bff63f94ff9d}</author>
    <author>tc={c33717fa-9b4f-41b1-ad28-bcd937338c06}</author>
    <author>tc={dd316bc9-f889-43df-8df4-cb5cfa6fee22}</author>
  </authors>
  <commentList>
    <comment authorId="0" xr:uid="{0f407e59-5105-45f6-9865-bff63f94ff9d}" ref="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adjust from 4 to 3.
</t>
      </text>
    </comment>
    <comment authorId="1" xr:uid="{c33717fa-9b4f-41b1-ad28-bcd937338c06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Adjusted from 3 to 2, because Ben was being too kind to Yeoh in the rating.
</t>
      </text>
    </comment>
    <comment authorId="2" xr:uid="{dd316bc9-f889-43df-8df4-cb5cfa6fee22}" ref="O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Adjusted from 2 to 4. She did not achieve KPI because she was standing in for Chloe as Payroll Master.
</t>
      </text>
    </comment>
  </commentList>
</comments>
</file>

<file path=xl/sharedStrings.xml><?xml version="1.0" encoding="utf-8"?>
<sst xmlns="http://schemas.openxmlformats.org/spreadsheetml/2006/main" count="933" uniqueCount="393">
  <si>
    <t>Can Convert</t>
  </si>
  <si>
    <t>FY2022</t>
  </si>
  <si>
    <t>FY2023</t>
  </si>
  <si>
    <t>FY2024</t>
  </si>
  <si>
    <t>FY2025</t>
  </si>
  <si>
    <t>FY2026</t>
  </si>
  <si>
    <t>FY2027</t>
  </si>
  <si>
    <t>Total Shares</t>
  </si>
  <si>
    <t>Total Cap</t>
  </si>
  <si>
    <t>Yearly Cap</t>
  </si>
  <si>
    <t>Total ESOP Given</t>
  </si>
  <si>
    <t>% to yearly Cap</t>
  </si>
  <si>
    <t>FY 2022</t>
  </si>
  <si>
    <t>FY 2023</t>
  </si>
  <si>
    <t>FY 2024</t>
  </si>
  <si>
    <t>FY 2025</t>
  </si>
  <si>
    <t>Total Outstanding Shares</t>
  </si>
  <si>
    <t>Total ESOP given</t>
  </si>
  <si>
    <t>Issued Date</t>
  </si>
  <si>
    <t>15/7/22</t>
  </si>
  <si>
    <t>31/7/24</t>
  </si>
  <si>
    <t>Employee Pool</t>
  </si>
  <si>
    <t>Name</t>
  </si>
  <si>
    <t>Total</t>
  </si>
  <si>
    <t>EMAIL</t>
  </si>
  <si>
    <t>Tok Meiting</t>
  </si>
  <si>
    <t>meiting@elitez.asia</t>
  </si>
  <si>
    <t>Li Qian</t>
  </si>
  <si>
    <t>liqian@elitez.asia</t>
  </si>
  <si>
    <t>Eevann Seah</t>
  </si>
  <si>
    <t>eevann.seah@elitez.asia</t>
  </si>
  <si>
    <t>Wang Jiemin (Jack)</t>
  </si>
  <si>
    <t>jack.wang@elitez.asia</t>
  </si>
  <si>
    <t>Daryl Toh</t>
  </si>
  <si>
    <t>Sharon Lau Jie Joo</t>
  </si>
  <si>
    <t>sharon.lau@elitez.asia</t>
  </si>
  <si>
    <t>Yeoh Ser How</t>
  </si>
  <si>
    <t>serhow.yeoh@elitez.asia</t>
  </si>
  <si>
    <t>Samion Ong</t>
  </si>
  <si>
    <t>Chan Wai Seng, Nicholas</t>
  </si>
  <si>
    <t>nicholas.chan@elitez.asia</t>
  </si>
  <si>
    <t>Philip Leong</t>
  </si>
  <si>
    <t>Asmond Soh</t>
  </si>
  <si>
    <t>Damien Tan Han Kiap</t>
  </si>
  <si>
    <t>damien.tan@elitez.asia</t>
  </si>
  <si>
    <t>Chen Ting</t>
  </si>
  <si>
    <t>chenting@elitez.asia</t>
  </si>
  <si>
    <t>Andy Lim Wen Jie</t>
  </si>
  <si>
    <t>andy@elitez.asia</t>
  </si>
  <si>
    <t>Aiydon Li Yi Xuan</t>
  </si>
  <si>
    <t>aiydon@elitez.asia</t>
  </si>
  <si>
    <t>Wong Siew Hua</t>
  </si>
  <si>
    <t>siewhua.wong@elitez.asia</t>
  </si>
  <si>
    <t>Kan Siew Weng</t>
  </si>
  <si>
    <t>siewweng.kan@elitez.asia</t>
  </si>
  <si>
    <t>How Hee Chek (Jaysen)</t>
  </si>
  <si>
    <t>jaysen@dhc.com.sg</t>
  </si>
  <si>
    <t>Lim Runting</t>
  </si>
  <si>
    <t>runting@dhc.com.sg</t>
  </si>
  <si>
    <t>Ho Si Cong</t>
  </si>
  <si>
    <t>sicong@dhc.com.sg</t>
  </si>
  <si>
    <t>Tiong Kai Yuen, Noreen</t>
  </si>
  <si>
    <t>noreen@dhc.com.sg</t>
  </si>
  <si>
    <t>Tan Hui Qing</t>
  </si>
  <si>
    <t>huiqing@dhc.com.sg</t>
  </si>
  <si>
    <t>Kenneth Koh</t>
  </si>
  <si>
    <t>kenneth.koh@elitez.asia</t>
  </si>
  <si>
    <t>Heng Zeng Yang Ian</t>
  </si>
  <si>
    <t>ian.heng@elitez.asia</t>
  </si>
  <si>
    <t>Tsai Pei-Hua (Penny)</t>
  </si>
  <si>
    <t>penny.tsai@elitez.asia</t>
  </si>
  <si>
    <t>Jorena Tan Chee Huan</t>
  </si>
  <si>
    <t>jorena.tan@elitez.asia</t>
  </si>
  <si>
    <t>Melissa Tan Yi Xuan</t>
  </si>
  <si>
    <t xml:space="preserve">melissa.tan@elitez.asia </t>
  </si>
  <si>
    <t>Marilyn Choo Lih Cheen (MSIA)</t>
  </si>
  <si>
    <t>marilyn.choo@elitez.asia</t>
  </si>
  <si>
    <t>Phua Qiu Ru</t>
  </si>
  <si>
    <t>qiuru.phua@dhc.com.sg</t>
  </si>
  <si>
    <t>Neo Xian Yao</t>
  </si>
  <si>
    <t>sam.neo@elitez.asia</t>
  </si>
  <si>
    <t>Tan Sheng Yang</t>
  </si>
  <si>
    <t>shengyang.tan@elitez.asia</t>
  </si>
  <si>
    <t>Chan Huan Zhang Adrian</t>
  </si>
  <si>
    <t>adrian.chan@elitez.asia</t>
  </si>
  <si>
    <t>Employee</t>
  </si>
  <si>
    <t>Years in Company</t>
  </si>
  <si>
    <t>Current Year Performance</t>
  </si>
  <si>
    <t>Leadership Potential</t>
  </si>
  <si>
    <t>Total Score (Raw)</t>
  </si>
  <si>
    <t>Entity</t>
  </si>
  <si>
    <t>Remarks</t>
  </si>
  <si>
    <t>Example</t>
  </si>
  <si>
    <t>Rongjie</t>
  </si>
  <si>
    <t>Elitez Pte Ltd</t>
  </si>
  <si>
    <t>Jaysen</t>
  </si>
  <si>
    <t>DHC Pte Ltd</t>
  </si>
  <si>
    <t>Runting</t>
  </si>
  <si>
    <t>18/11/2013</t>
  </si>
  <si>
    <t>Si Cong</t>
  </si>
  <si>
    <t>16/04/2019</t>
  </si>
  <si>
    <t>Noreen</t>
  </si>
  <si>
    <t>20/03/2017</t>
  </si>
  <si>
    <t>Huiqing</t>
  </si>
  <si>
    <t>Weightage</t>
  </si>
  <si>
    <t>Factor 1</t>
  </si>
  <si>
    <t>Factor 2</t>
  </si>
  <si>
    <t>Factor 3</t>
  </si>
  <si>
    <t>Total Shares to be given (20%)</t>
  </si>
  <si>
    <t>Ending dates</t>
  </si>
  <si>
    <t xml:space="preserve">Scale of </t>
  </si>
  <si>
    <t>0 to 5</t>
  </si>
  <si>
    <t>Total Shares for EGPL 2024</t>
  </si>
  <si>
    <t>2022 15 July 2022 (5 Years Vest)</t>
  </si>
  <si>
    <t>Formatted Grading</t>
  </si>
  <si>
    <t>Grading 
for FY 2024</t>
  </si>
  <si>
    <t>Formatted 
Joined Date</t>
  </si>
  <si>
    <t>Joined Date</t>
  </si>
  <si>
    <t>Years in Company(as of 1 May 2024)</t>
  </si>
  <si>
    <t>Total Score</t>
  </si>
  <si>
    <t>Percentage</t>
  </si>
  <si>
    <t>ESOP Given</t>
  </si>
  <si>
    <t>HR</t>
  </si>
  <si>
    <t>A</t>
  </si>
  <si>
    <t>FIN</t>
  </si>
  <si>
    <t>A+</t>
  </si>
  <si>
    <t>SALES</t>
  </si>
  <si>
    <t>Jack Wang</t>
  </si>
  <si>
    <t>OPS</t>
  </si>
  <si>
    <t>B</t>
  </si>
  <si>
    <t>Sharon Lau</t>
  </si>
  <si>
    <t>B+</t>
  </si>
  <si>
    <t>Nicholas Chan</t>
  </si>
  <si>
    <t>Damien Tan</t>
  </si>
  <si>
    <t>ESG</t>
  </si>
  <si>
    <t>Andy Lim</t>
  </si>
  <si>
    <t>Aiydon</t>
  </si>
  <si>
    <t>Siew Hua</t>
  </si>
  <si>
    <t>Siew Weng</t>
  </si>
  <si>
    <t>DHC</t>
  </si>
  <si>
    <t>Jaysen How</t>
  </si>
  <si>
    <t>Noreen Tiong</t>
  </si>
  <si>
    <t>Tan Huiqing</t>
  </si>
  <si>
    <t>Ian Heng</t>
  </si>
  <si>
    <t>Penny Tsai</t>
  </si>
  <si>
    <t>Factor 1: Years</t>
  </si>
  <si>
    <t>Factor 2 :Current Year Performance</t>
  </si>
  <si>
    <t>Factor 3 :Current Year Performance</t>
  </si>
  <si>
    <t>Jorena Tan</t>
  </si>
  <si>
    <t>Points</t>
  </si>
  <si>
    <t>Years</t>
  </si>
  <si>
    <t>Scoring</t>
  </si>
  <si>
    <t>Potential</t>
  </si>
  <si>
    <t>Melissa Tan</t>
  </si>
  <si>
    <t>Ho Si Cong 1 Mar 2021 - Actual 15/04/2019</t>
  </si>
  <si>
    <t>Hailey Yang</t>
  </si>
  <si>
    <t>Densil Tan</t>
  </si>
  <si>
    <t>LEFT</t>
  </si>
  <si>
    <t>Jorena Tan 14 Sep 2020 - correct</t>
  </si>
  <si>
    <t>Hailey Yang 2 Aug 2021 - correct</t>
  </si>
  <si>
    <t>Job Title</t>
  </si>
  <si>
    <t>Address</t>
  </si>
  <si>
    <t>Nationality</t>
  </si>
  <si>
    <t>Identity No</t>
  </si>
  <si>
    <t>2024 ESOP Given</t>
  </si>
  <si>
    <t>HR Manager</t>
  </si>
  <si>
    <t>653C Punggol Drive #13-80 S (823653)</t>
  </si>
  <si>
    <t>Singaporean</t>
  </si>
  <si>
    <t>S9408267F</t>
  </si>
  <si>
    <t>Senior Finance Manager</t>
  </si>
  <si>
    <t>129 Ang Mo Kio Avenue 3 #11-1549 S(560129)</t>
  </si>
  <si>
    <t>S9077139F</t>
  </si>
  <si>
    <t>Senior Manager</t>
  </si>
  <si>
    <t>128A Canberra Street #11-508 S(751128)</t>
  </si>
  <si>
    <t>S9038620D</t>
  </si>
  <si>
    <t>522B Tampines Central 7 #03-15 S(522522)</t>
  </si>
  <si>
    <t>S8818978G</t>
  </si>
  <si>
    <t>Toh Hui Leong (Daryl)</t>
  </si>
  <si>
    <t>526 Hougang Avenue 6, #10-149 S(530526)</t>
  </si>
  <si>
    <t>S9048049I</t>
  </si>
  <si>
    <t>353B Anchorvale Labe #14-83 S(542353)</t>
  </si>
  <si>
    <t>Malaysian</t>
  </si>
  <si>
    <t>S9349763E</t>
  </si>
  <si>
    <t>Operations Manager</t>
  </si>
  <si>
    <t>432B Northshore Drive #22-862 S(822432)</t>
  </si>
  <si>
    <t>S8876646F</t>
  </si>
  <si>
    <t>Head of Tenders</t>
  </si>
  <si>
    <t>31 Lentor Terrace S(788926)</t>
  </si>
  <si>
    <t>S9220162G</t>
  </si>
  <si>
    <t>Business Development Manager</t>
  </si>
  <si>
    <t>S9405253Z</t>
  </si>
  <si>
    <t>Senior Finance Executive</t>
  </si>
  <si>
    <t>45 Bendemeer Road, #06-1439 S(330045)</t>
  </si>
  <si>
    <t>Chinese</t>
  </si>
  <si>
    <t>S9374645G</t>
  </si>
  <si>
    <t>Deputy Head, ESG</t>
  </si>
  <si>
    <t>121B Edgedale Plains #06-193 S(822121)</t>
  </si>
  <si>
    <t>S9436300D</t>
  </si>
  <si>
    <t>Team Lead</t>
  </si>
  <si>
    <t>224B Sumang Lane #13-119 S(822224)</t>
  </si>
  <si>
    <t>S8781890Z</t>
  </si>
  <si>
    <t>Assistant Accounts Manager</t>
  </si>
  <si>
    <t>No 6, spg 40-127, Jalan SG Akar, Bandar Seri Begawan BE1918, Negara Brunei Darussalam</t>
  </si>
  <si>
    <t>G8654768L</t>
  </si>
  <si>
    <t>No.18, Tingkat Melur 5, Bagan Jermal, 12300, Butterworth, Pulau Pinang</t>
  </si>
  <si>
    <t>Senior Head of Sales</t>
  </si>
  <si>
    <t>245 Hougang St 22 #13-143 S(530245)</t>
  </si>
  <si>
    <t>S8000770A</t>
  </si>
  <si>
    <t>Principal Consultant</t>
  </si>
  <si>
    <t>226B Sumang Lane #15-220 S(822226)</t>
  </si>
  <si>
    <t>S9145484Z</t>
  </si>
  <si>
    <t>Manager</t>
  </si>
  <si>
    <t>233 Bain Street #13-07 S(180233)</t>
  </si>
  <si>
    <t>S9419440G</t>
  </si>
  <si>
    <t>Senior Researcher</t>
  </si>
  <si>
    <t>243 Yishun Ring Road #10-1137 S(760243)</t>
  </si>
  <si>
    <t>S7941127B</t>
  </si>
  <si>
    <t>434B Fernvale Road #05-240 S(792434)</t>
  </si>
  <si>
    <t>S8341958Z</t>
  </si>
  <si>
    <t>120D Canberra Crescent #02-403 S(754120)</t>
  </si>
  <si>
    <t>S9627246D</t>
  </si>
  <si>
    <t>158 Yung Loh Road #07-52 #07-52 S(610158)</t>
  </si>
  <si>
    <t>S9114974E</t>
  </si>
  <si>
    <t>731 Tampines Street 71 #10-135 S(520731)</t>
  </si>
  <si>
    <t>Taiwanese</t>
  </si>
  <si>
    <t>S8663445G</t>
  </si>
  <si>
    <t>126C Kim Tian Rd #40-519 S(163126)</t>
  </si>
  <si>
    <t>S9324775B</t>
  </si>
  <si>
    <t>Business Development Executive</t>
  </si>
  <si>
    <t>315 Serangoon Avenue 2 #08-206 S(550315)</t>
  </si>
  <si>
    <t>S9347251I</t>
  </si>
  <si>
    <t>Balance before FY 2025</t>
  </si>
  <si>
    <t>Top 20% count</t>
  </si>
  <si>
    <t>Balance after FY 2025</t>
  </si>
  <si>
    <t>Years left if use current scheme</t>
  </si>
  <si>
    <t>Base proportion</t>
  </si>
  <si>
    <t>Years left (if use Derrick suggestion 2)</t>
  </si>
  <si>
    <t>Base shares</t>
  </si>
  <si>
    <t>Top 20% ESOP</t>
  </si>
  <si>
    <t>Power multiplier</t>
  </si>
  <si>
    <t>Bottom 50%</t>
  </si>
  <si>
    <t>Total Shares for EGPL 2025</t>
  </si>
  <si>
    <t>Rounding</t>
  </si>
  <si>
    <t>Department</t>
  </si>
  <si>
    <t>Reference Employee Pool</t>
  </si>
  <si>
    <t>Direct Supervisor</t>
  </si>
  <si>
    <t>Grading 
for FY 2025</t>
  </si>
  <si>
    <t>Years in Company(as of 1 May 2025)</t>
  </si>
  <si>
    <t>2025 ESOP Given</t>
  </si>
  <si>
    <t>Derrick proposal 1, using max cap 60000</t>
  </si>
  <si>
    <t xml:space="preserve">Derrick proposal 2, using ½ median payout of 2023/2024 and benchmark the median scorer of 2025 </t>
  </si>
  <si>
    <t>Proposal 3A; If use moving forward recommendation in below box, Linear Formula</t>
  </si>
  <si>
    <t>Difference</t>
  </si>
  <si>
    <t>Proposal 3B, Using Quadratic Formula</t>
  </si>
  <si>
    <t>Rank</t>
  </si>
  <si>
    <t>Derrick comments, 13 september 2025</t>
  </si>
  <si>
    <t>W</t>
  </si>
  <si>
    <t>R</t>
  </si>
  <si>
    <t>Sustained method for future ESOP</t>
  </si>
  <si>
    <t>D</t>
  </si>
  <si>
    <t>ESOP per year cap at 600000</t>
  </si>
  <si>
    <t>Associate Director</t>
  </si>
  <si>
    <t>Base share per person = (600k / # pax) x 0.8 = share given to median performer</t>
  </si>
  <si>
    <t>Denominator = median performer. Numerator = respective individual.</t>
  </si>
  <si>
    <t>Power multiplier; x = approx 1.8-2.5. Use recursive (goal-seek) formula.</t>
  </si>
  <si>
    <t>Desired st-dev should be around 10000-15000. If not, we may review the formula.</t>
  </si>
  <si>
    <t>Top 20% ESOP holders should take 38-50%. If out of this range, review the formula.</t>
  </si>
  <si>
    <t>Rounding to nearest hundred</t>
  </si>
  <si>
    <t>Adjustment to IPO announcement</t>
  </si>
  <si>
    <t>Not listing by 2027, due to broader environment and lack of liquidity in market. Modify narrative.</t>
  </si>
  <si>
    <t>Example; we can still M&amp;A and acquire assets through our company funding mechanism (internal and external).</t>
  </si>
  <si>
    <t>Deputy Regional Head of Sales</t>
  </si>
  <si>
    <t>Y</t>
  </si>
  <si>
    <t>As such, we will allow earlier vesting by 1 year -&gt; 2022's 400k can vest in May 2026 instead of 2027.</t>
  </si>
  <si>
    <t>Illustration</t>
  </si>
  <si>
    <t>Discount factor</t>
  </si>
  <si>
    <t>How to vest?</t>
  </si>
  <si>
    <t>Options converted;</t>
  </si>
  <si>
    <t>Encourage all 2022 vestees to pay 10% on May 2026.</t>
  </si>
  <si>
    <t>Paid cash to convert;</t>
  </si>
  <si>
    <t>Allow each shareholder to sell up to 10%/yr of their current holdings at 60% discount.</t>
  </si>
  <si>
    <t>Sell at discount;</t>
  </si>
  <si>
    <t>Declare dividend, approx $0.03 per share.</t>
  </si>
  <si>
    <t xml:space="preserve">Receive dividend; </t>
  </si>
  <si>
    <t>Net paid (perceived);</t>
  </si>
  <si>
    <t>Desired result?</t>
  </si>
  <si>
    <t>Share balance</t>
  </si>
  <si>
    <t>Upload the belief that ESOP is worth money.</t>
  </si>
  <si>
    <t>Senior Business Development Executive</t>
  </si>
  <si>
    <t>Create a tradable and liquidity mechanism for peope to increase or reduce their shareholding.</t>
  </si>
  <si>
    <t>55 Tampines Central 7 #06-11 S(528617)</t>
  </si>
  <si>
    <t>S9281317G</t>
  </si>
  <si>
    <t>Direct signal on who could be the strong supporters of our vision (if they dont sell, and even buy).</t>
  </si>
  <si>
    <t>286B Compassvale Crescent #06-99 S(542286)</t>
  </si>
  <si>
    <t>S8700923H</t>
  </si>
  <si>
    <t>Exemplar for future ESOP holders to see the real value. (ideally, they are motivated to understand more how ESOP works)</t>
  </si>
  <si>
    <t>Assistant Business Development Manager</t>
  </si>
  <si>
    <t>314 Woodlands Street 31 #12-92 S(730314)</t>
  </si>
  <si>
    <t>S9637999D</t>
  </si>
  <si>
    <t>Option; we can then reduce the 90% discount for 2027-issued to 85% or 80% (if ESOP activity and excitment is high)</t>
  </si>
  <si>
    <t>Assistant Finance Manager</t>
  </si>
  <si>
    <t>559 Hougang Street 51 #13-396 S(530559)</t>
  </si>
  <si>
    <t>S9118893G</t>
  </si>
  <si>
    <t>BD Manager</t>
  </si>
  <si>
    <t>272C Jurong West Street 24 #11-10 S(643272)</t>
  </si>
  <si>
    <t>S9442162D</t>
  </si>
  <si>
    <t>median</t>
  </si>
  <si>
    <t>Annual cap</t>
  </si>
  <si>
    <t>Dept</t>
  </si>
  <si>
    <t>Pax</t>
  </si>
  <si>
    <t>Average</t>
  </si>
  <si>
    <t>Median</t>
  </si>
  <si>
    <t>P3B total</t>
  </si>
  <si>
    <t>P1 total</t>
  </si>
  <si>
    <t>P2 total</t>
  </si>
  <si>
    <t>SD</t>
  </si>
  <si>
    <t>average</t>
  </si>
  <si>
    <t>STDEV</t>
  </si>
  <si>
    <t>2SD up</t>
  </si>
  <si>
    <t>Derrick inputs, 4 Sept 2025</t>
  </si>
  <si>
    <t>Strength;</t>
  </si>
  <si>
    <t>Wont exceed 1.2M yet, so have longer payout duration. The bigger problem to resolve is if we exceed 6ish-M of ESOP, then how.</t>
  </si>
  <si>
    <t>Wont have the situation of someone benefiting just because others are graded poorer (or vice versa).</t>
  </si>
  <si>
    <t>Weakness</t>
  </si>
  <si>
    <t>If too many people enlist into ESOP, may exceed 1.2M. Solution; if hit 1.2M or above, all pro-rate so that sum = 1.2M</t>
  </si>
  <si>
    <t>Comments</t>
  </si>
  <si>
    <t>Not concerned about previous consistency, because there are only 2 data points (2022 and 23/24). We have yet to establish a pattern, so any changes is tolerated</t>
  </si>
  <si>
    <t>In cell E8 of "Current ESOP Given", this comment 'suggest give 50% of yearly cap
Then balance at the end of 5 years, give those who really stay with us over the LONG haul as gradituity BONUS' should be taken into consideration.</t>
  </si>
  <si>
    <t>Factor 3, if a person is yet to be an SM, can he/she be given consideration that he is a future director? If yes, who is to ascertain the quality of potential amongst various individual?
Solution; if a person is yet to be SM but still show good potential, then logically we should accord him 1 point for Factor 3.</t>
  </si>
  <si>
    <t>It is easy to give out, but it is not easy to retract. Better to start slow. We also spoke before that eventually we might come across a talent that is worthy to take over our role, and
by then, we are likely to give that individual a larger slice of ESOP. Which means we need to be prudent in giving out ESOP for now.</t>
  </si>
  <si>
    <t>Sustained method</t>
  </si>
  <si>
    <t>Use median performer score for each year (example 2025 median is 2.4)</t>
  </si>
  <si>
    <t>Median scorer will get 1.2M / 2 / #pax. Example if #pax = 30, median scorer gets 20000 shares</t>
  </si>
  <si>
    <t>Top performer will get usually 2SD above median.</t>
  </si>
  <si>
    <t>select median quantity (example 20k)</t>
  </si>
  <si>
    <t>select annual cap of ESOP (example 600k)</t>
  </si>
  <si>
    <t>PER YEAR</t>
  </si>
  <si>
    <t>SEOP</t>
  </si>
  <si>
    <t>Capped as</t>
  </si>
  <si>
    <t>per pax can get per year</t>
  </si>
  <si>
    <t>C+</t>
  </si>
  <si>
    <t>B-</t>
  </si>
  <si>
    <t>ESOP Rules</t>
  </si>
  <si>
    <t>Valuation Of Group Shares</t>
  </si>
  <si>
    <t>1.1. Suggest a PE on EBITDA , if EBITDA is negative, we will floor it at the net tangible assets (Use 4X to 6X; I propose 5X as average)</t>
  </si>
  <si>
    <t>1.2 Proposed to follow the Elitez GROUP audited books for consistency. ( Will be out Yearly by 30 Nov)</t>
  </si>
  <si>
    <t>ESOP holders exercise the option (90%) -&gt; all Held under TRUST (under RJ, otherwise compliance cost)-&gt; monies all goes back to the EGPL</t>
  </si>
  <si>
    <t>2.1 Employee under subsi which does not hold 100%; Subsi to top up the difference for the ESOP given at group level as Group does not own the subsi 100%, MI Shareholders need to co share the cost</t>
  </si>
  <si>
    <t>2.2 Employee pay 10% of the per share valued price</t>
  </si>
  <si>
    <t>2.3 Employee is entitled to the Economical rights but non voting (Employee can get Dividends and liquidity event)</t>
  </si>
  <si>
    <t>2.4 In an event employee leaves, company will buy back all the shares from the employees at the price they bought at ( ie 90% discount)</t>
  </si>
  <si>
    <t>Note 2.1</t>
  </si>
  <si>
    <t>The monies collected from the ESOP holders will be pump to the non-100% subsi for usage</t>
  </si>
  <si>
    <t>Whenever there is monies paid, Subsi need to co-share the cost based on the % of shareholding of the Minority interest</t>
  </si>
  <si>
    <t>For Example: 
FMCG; 80% group, 20% Eevann; 
Elitez group ESOP holder Jorena who is under FMCG FT; Whenever there is a Payout from the Group, dividends ; The Group will charge the Subsi 100% of total monies paid to these group of employees.</t>
  </si>
  <si>
    <t>In Event of Trade Sale or IPO; Subsi will be valued and all MI will be swap to the group at the neogotiated valuation</t>
  </si>
  <si>
    <t>Buy and Sell</t>
  </si>
  <si>
    <t>3.1 Every 1st Jan (2 weeks for submission; 2 weeks to clear); Employee can submit to buy and sell with each other at the price. ( We just use a form for them to submit)</t>
  </si>
  <si>
    <t>Company will have rights to buy up to 100% first</t>
  </si>
  <si>
    <t>3.2 No cap or limit on the shares Employee can sell ( As it depends on the internal Market)</t>
  </si>
  <si>
    <t>3.3 We allow exercise date to be Every Year March (2 weeks) ; Employee needs to hold to next Jan (9 months) before got change to "sell" (Depeding on whether got market)</t>
  </si>
  <si>
    <t>PROPOSED to have a PROPER AGM for our Elitez Group Yearly in Jan (Only ESOP holders and Shareholders to attend)</t>
  </si>
  <si>
    <t>4.1 Agenda can follow IPO companies</t>
  </si>
  <si>
    <t>Possible FAQ( Pls add)</t>
  </si>
  <si>
    <t>Total Equity</t>
  </si>
  <si>
    <t>Proposed Valuation</t>
  </si>
  <si>
    <t>EBITDA (Cashflow from Operations)</t>
  </si>
  <si>
    <t>Mutiple</t>
  </si>
  <si>
    <t>Estimated Valuation</t>
  </si>
  <si>
    <t>Price per share</t>
  </si>
  <si>
    <t>Lump Sum</t>
  </si>
  <si>
    <t>Broker Tommy Tan</t>
  </si>
  <si>
    <t>Broker Fee</t>
  </si>
  <si>
    <t>Set Aside for Adept Staff</t>
  </si>
  <si>
    <t>Sub Total Balance</t>
  </si>
  <si>
    <t>For Shareholders</t>
  </si>
  <si>
    <t>Tommy</t>
  </si>
  <si>
    <t>EGPL</t>
  </si>
  <si>
    <t>Total Amount Catered</t>
  </si>
  <si>
    <t>Per share Dividends</t>
  </si>
  <si>
    <t>ESOP Holders</t>
  </si>
  <si>
    <t>Total Amount to split</t>
  </si>
  <si>
    <t>S/N</t>
  </si>
  <si>
    <t>Nett for shareholders</t>
  </si>
  <si>
    <t>For ESOP</t>
  </si>
  <si>
    <t>Total O/S Shares</t>
  </si>
  <si>
    <t>ESOP Pool</t>
  </si>
  <si>
    <t>Yearly payout</t>
  </si>
  <si>
    <t>Valuatio Per share</t>
  </si>
  <si>
    <t>Discount per share</t>
  </si>
  <si>
    <t>Paid Price</t>
  </si>
  <si>
    <t>Potential money from AA</t>
  </si>
  <si>
    <t>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</si>
</sst>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/d/yy"/>
    <numFmt numFmtId="165" formatCode="mm/dd/yyyy"/>
    <numFmt numFmtId="166" formatCode="M/d/yyyy"/>
    <numFmt numFmtId="167" formatCode="d mmm yyyy"/>
    <numFmt numFmtId="168" formatCode="d mmmm yyyy"/>
    <numFmt numFmtId="169" formatCode="m/d/yyyy"/>
    <numFmt numFmtId="170" formatCode="mmm yyyy"/>
    <numFmt numFmtId="171" formatCode="&quot;$&quot;#,##0.00"/>
    <numFmt numFmtId="172" formatCode="mmmm yyyy"/>
    <numFmt numFmtId="173" formatCode="dd mmmm yyyy"/>
    <numFmt numFmtId="174" formatCode="dd mmm yyyy"/>
    <numFmt numFmtId="175" formatCode="0.0000"/>
    <numFmt numFmtId="176" formatCode="&quot;$&quot;#,##0"/>
    <numFmt numFmtId="177" formatCode="&quot;$&quot;#,##0.0000"/>
    <numFmt numFmtId="178" formatCode="&quot;$&quot;#,##0.000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b/>
      <color theme="1"/>
      <name val="Arial"/>
    </font>
    <font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sz val="11.0"/>
      <color rgb="FF1F1F1F"/>
      <name val="&quot;Google Sans&quot;"/>
    </font>
    <font>
      <color rgb="FF000000"/>
      <name val="Tahoma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i/>
      <sz val="10.0"/>
      <color rgb="FFFF00FF"/>
      <name val="Arial"/>
      <scheme val="minor"/>
    </font>
    <font>
      <i/>
      <color rgb="FFFF00FF"/>
      <name val="Arial"/>
      <scheme val="minor"/>
    </font>
    <font>
      <sz val="10.0"/>
      <color rgb="FF004D71"/>
      <name val="Arial"/>
      <scheme val="minor"/>
    </font>
    <font>
      <sz val="10.0"/>
      <color rgb="FFCCCCCC"/>
      <name val="Arial"/>
      <scheme val="minor"/>
    </font>
    <font>
      <sz val="10.0"/>
      <color rgb="FF1F1F1F"/>
      <name val="&quot;Google Sans&quot;"/>
    </font>
    <font>
      <color rgb="FFCCCCCC"/>
      <name val="Arial"/>
      <scheme val="minor"/>
    </font>
    <font>
      <sz val="10.0"/>
      <color theme="1"/>
      <name val="Arial"/>
    </font>
    <font>
      <i/>
      <sz val="10.0"/>
      <color theme="1"/>
      <name val="Arial"/>
    </font>
    <font>
      <color theme="1"/>
      <name val="Calibri"/>
    </font>
    <font>
      <b/>
      <color theme="1"/>
      <name val="Calibri"/>
    </font>
    <font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F8F8F8"/>
        <bgColor rgb="FFF8F8F8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A9A9A"/>
      </right>
      <bottom style="thin">
        <color rgb="FF9A9A9A"/>
      </bottom>
    </border>
    <border>
      <right style="thin">
        <color rgb="FF9A9A9A"/>
      </right>
    </border>
    <border>
      <bottom style="thin">
        <color rgb="FF9A9A9A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3" xfId="0" applyAlignment="1" applyFont="1" applyNumberFormat="1">
      <alignment horizontal="left" readingOrder="0"/>
    </xf>
    <xf borderId="1" fillId="0" fontId="3" numFmtId="3" xfId="0" applyAlignment="1" applyBorder="1" applyFont="1" applyNumberFormat="1">
      <alignment horizontal="left" readingOrder="0" shrinkToFit="0" vertical="bottom" wrapText="0"/>
    </xf>
    <xf borderId="0" fillId="0" fontId="1" numFmtId="3" xfId="0" applyAlignment="1" applyFont="1" applyNumberFormat="1">
      <alignment horizontal="left"/>
    </xf>
    <xf borderId="0" fillId="2" fontId="1" numFmtId="9" xfId="0" applyAlignment="1" applyFill="1" applyFont="1" applyNumberFormat="1">
      <alignment horizontal="left" readingOrder="0"/>
    </xf>
    <xf borderId="0" fillId="0" fontId="1" numFmtId="10" xfId="0" applyAlignment="1" applyFont="1" applyNumberFormat="1">
      <alignment horizontal="left"/>
    </xf>
    <xf borderId="2" fillId="0" fontId="4" numFmtId="0" xfId="0" applyAlignment="1" applyBorder="1" applyFont="1">
      <alignment horizontal="left" readingOrder="0" vertical="top"/>
    </xf>
    <xf borderId="2" fillId="0" fontId="4" numFmtId="3" xfId="0" applyAlignment="1" applyBorder="1" applyFont="1" applyNumberFormat="1">
      <alignment horizontal="left" vertical="top"/>
    </xf>
    <xf borderId="0" fillId="0" fontId="5" numFmtId="0" xfId="0" applyAlignment="1" applyFont="1">
      <alignment horizontal="left" vertical="top"/>
    </xf>
    <xf borderId="2" fillId="0" fontId="5" numFmtId="0" xfId="0" applyAlignment="1" applyBorder="1" applyFont="1">
      <alignment horizontal="left" readingOrder="0" vertical="top"/>
    </xf>
    <xf borderId="2" fillId="0" fontId="5" numFmtId="10" xfId="0" applyAlignment="1" applyBorder="1" applyFont="1" applyNumberFormat="1">
      <alignment horizontal="left" readingOrder="0" vertical="top"/>
    </xf>
    <xf borderId="0" fillId="0" fontId="1" numFmtId="9" xfId="0" applyAlignment="1" applyFont="1" applyNumberFormat="1">
      <alignment horizontal="left" readingOrder="0"/>
    </xf>
    <xf borderId="1" fillId="0" fontId="5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readingOrder="0" vertical="top"/>
    </xf>
    <xf borderId="3" fillId="0" fontId="4" numFmtId="3" xfId="0" applyAlignment="1" applyBorder="1" applyFont="1" applyNumberFormat="1">
      <alignment horizontal="left" readingOrder="0" vertical="top"/>
    </xf>
    <xf borderId="0" fillId="3" fontId="6" numFmtId="3" xfId="0" applyAlignment="1" applyFill="1" applyFont="1" applyNumberFormat="1">
      <alignment horizontal="left"/>
    </xf>
    <xf borderId="0" fillId="0" fontId="1" numFmtId="10" xfId="0" applyFont="1" applyNumberForma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5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vertical="top"/>
    </xf>
    <xf borderId="1" fillId="3" fontId="4" numFmtId="0" xfId="0" applyAlignment="1" applyBorder="1" applyFont="1">
      <alignment horizontal="left" vertical="top"/>
    </xf>
    <xf borderId="1" fillId="0" fontId="4" numFmtId="3" xfId="0" applyAlignment="1" applyBorder="1" applyFont="1" applyNumberFormat="1">
      <alignment horizontal="left" vertical="top"/>
    </xf>
    <xf borderId="1" fillId="0" fontId="1" numFmtId="3" xfId="0" applyAlignment="1" applyBorder="1" applyFont="1" applyNumberFormat="1">
      <alignment horizontal="left"/>
    </xf>
    <xf borderId="1" fillId="0" fontId="1" numFmtId="0" xfId="0" applyAlignment="1" applyBorder="1" applyFont="1">
      <alignment readingOrder="0"/>
    </xf>
    <xf borderId="1" fillId="3" fontId="7" numFmtId="0" xfId="0" applyAlignment="1" applyBorder="1" applyFont="1">
      <alignment horizontal="left" readingOrder="0" vertical="top"/>
    </xf>
    <xf borderId="1" fillId="4" fontId="4" numFmtId="3" xfId="0" applyAlignment="1" applyBorder="1" applyFill="1" applyFont="1" applyNumberFormat="1">
      <alignment horizontal="left" vertical="top"/>
    </xf>
    <xf borderId="4" fillId="0" fontId="4" numFmtId="3" xfId="0" applyAlignment="1" applyBorder="1" applyFont="1" applyNumberFormat="1">
      <alignment horizontal="left" vertical="top"/>
    </xf>
    <xf borderId="1" fillId="4" fontId="1" numFmtId="3" xfId="0" applyAlignment="1" applyBorder="1" applyFont="1" applyNumberFormat="1">
      <alignment horizontal="left"/>
    </xf>
    <xf borderId="1" fillId="0" fontId="7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1" fillId="3" fontId="7" numFmtId="0" xfId="0" applyAlignment="1" applyBorder="1" applyFont="1">
      <alignment horizontal="left" readingOrder="0"/>
    </xf>
    <xf borderId="1" fillId="0" fontId="4" numFmtId="3" xfId="0" applyAlignment="1" applyBorder="1" applyFont="1" applyNumberFormat="1">
      <alignment horizontal="left" readingOrder="0" vertical="top"/>
    </xf>
    <xf borderId="1" fillId="3" fontId="0" numFmtId="0" xfId="0" applyAlignment="1" applyBorder="1" applyFont="1">
      <alignment horizontal="left" readingOrder="0" shrinkToFit="0" vertical="bottom" wrapText="0"/>
    </xf>
    <xf borderId="1" fillId="3" fontId="0" numFmtId="0" xfId="0" applyAlignment="1" applyBorder="1" applyFont="1">
      <alignment horizontal="left" readingOrder="0" shrinkToFit="0" vertical="top" wrapText="0"/>
    </xf>
    <xf borderId="1" fillId="0" fontId="1" numFmtId="3" xfId="0" applyAlignment="1" applyBorder="1" applyFont="1" applyNumberFormat="1">
      <alignment horizontal="left" readingOrder="0"/>
    </xf>
    <xf borderId="0" fillId="0" fontId="7" numFmtId="0" xfId="0" applyFont="1"/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5" fontId="8" numFmtId="0" xfId="0" applyAlignment="1" applyFill="1" applyFont="1">
      <alignment readingOrder="0" shrinkToFit="0" vertical="bottom" wrapText="0"/>
    </xf>
    <xf borderId="0" fillId="5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2" fontId="8" numFmtId="4" xfId="0" applyAlignment="1" applyFont="1" applyNumberFormat="1">
      <alignment horizontal="right" readingOrder="0" shrinkToFit="0" vertical="bottom" wrapText="0"/>
    </xf>
    <xf borderId="0" fillId="2" fontId="8" numFmtId="0" xfId="0" applyAlignment="1" applyFont="1">
      <alignment horizontal="right"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2" fillId="2" fontId="8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0" fontId="1" numFmtId="3" xfId="0" applyFont="1" applyNumberFormat="1"/>
    <xf borderId="0" fillId="6" fontId="1" numFmtId="164" xfId="0" applyAlignment="1" applyFill="1" applyFont="1" applyNumberFormat="1">
      <alignment readingOrder="0"/>
    </xf>
    <xf borderId="0" fillId="7" fontId="1" numFmtId="9" xfId="0" applyAlignment="1" applyFill="1" applyFont="1" applyNumberFormat="1">
      <alignment readingOrder="0"/>
    </xf>
    <xf borderId="0" fillId="0" fontId="1" numFmtId="0" xfId="0" applyFont="1"/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readingOrder="0" vertical="top"/>
    </xf>
    <xf borderId="1" fillId="0" fontId="2" numFmtId="10" xfId="0" applyAlignment="1" applyBorder="1" applyFont="1" applyNumberFormat="1">
      <alignment readingOrder="0"/>
    </xf>
    <xf borderId="1" fillId="0" fontId="4" numFmtId="0" xfId="0" applyAlignment="1" applyBorder="1" applyFont="1">
      <alignment horizontal="right" vertical="top"/>
    </xf>
    <xf borderId="1" fillId="3" fontId="4" numFmtId="0" xfId="0" applyAlignment="1" applyBorder="1" applyFont="1">
      <alignment vertical="top"/>
    </xf>
    <xf borderId="1" fillId="0" fontId="4" numFmtId="3" xfId="0" applyAlignment="1" applyBorder="1" applyFont="1" applyNumberFormat="1">
      <alignment horizontal="right" vertical="top"/>
    </xf>
    <xf borderId="1" fillId="2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3" fontId="1" numFmtId="166" xfId="0" applyAlignment="1" applyBorder="1" applyFont="1" applyNumberFormat="1">
      <alignment readingOrder="0"/>
    </xf>
    <xf borderId="1" fillId="3" fontId="1" numFmtId="167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10" xfId="0" applyBorder="1" applyFont="1" applyNumberFormat="1"/>
    <xf borderId="1" fillId="0" fontId="1" numFmtId="3" xfId="0" applyBorder="1" applyFont="1" applyNumberFormat="1"/>
    <xf borderId="1" fillId="0" fontId="4" numFmtId="0" xfId="0" applyAlignment="1" applyBorder="1" applyFont="1">
      <alignment vertical="top"/>
    </xf>
    <xf borderId="1" fillId="3" fontId="1" numFmtId="168" xfId="0" applyAlignment="1" applyBorder="1" applyFont="1" applyNumberFormat="1">
      <alignment readingOrder="0"/>
    </xf>
    <xf borderId="1" fillId="0" fontId="4" numFmtId="0" xfId="0" applyAlignment="1" applyBorder="1" applyFont="1">
      <alignment readingOrder="0" vertical="top"/>
    </xf>
    <xf borderId="1" fillId="4" fontId="1" numFmtId="0" xfId="0" applyBorder="1" applyFont="1"/>
    <xf borderId="1" fillId="3" fontId="9" numFmtId="0" xfId="0" applyAlignment="1" applyBorder="1" applyFont="1">
      <alignment readingOrder="0" shrinkToFit="0" vertical="bottom" wrapText="0"/>
    </xf>
    <xf borderId="1" fillId="3" fontId="1" numFmtId="0" xfId="0" applyBorder="1" applyFont="1"/>
    <xf borderId="1" fillId="2" fontId="1" numFmtId="166" xfId="0" applyAlignment="1" applyBorder="1" applyFont="1" applyNumberFormat="1">
      <alignment readingOrder="0"/>
    </xf>
    <xf borderId="1" fillId="2" fontId="1" numFmtId="167" xfId="0" applyAlignment="1" applyBorder="1" applyFont="1" applyNumberFormat="1">
      <alignment readingOrder="0"/>
    </xf>
    <xf borderId="1" fillId="3" fontId="9" numFmtId="0" xfId="0" applyAlignment="1" applyBorder="1" applyFont="1">
      <alignment readingOrder="0" shrinkToFit="0" vertical="top" wrapText="0"/>
    </xf>
    <xf borderId="1" fillId="3" fontId="1" numFmtId="169" xfId="0" applyAlignment="1" applyBorder="1" applyFont="1" applyNumberFormat="1">
      <alignment horizontal="right" readingOrder="0"/>
    </xf>
    <xf borderId="1" fillId="3" fontId="1" numFmtId="166" xfId="0" applyAlignment="1" applyBorder="1" applyFont="1" applyNumberFormat="1">
      <alignment horizontal="right" readingOrder="0"/>
    </xf>
    <xf borderId="1" fillId="2" fontId="1" numFmtId="166" xfId="0" applyAlignment="1" applyBorder="1" applyFont="1" applyNumberFormat="1">
      <alignment horizontal="right" readingOrder="0"/>
    </xf>
    <xf borderId="1" fillId="6" fontId="1" numFmtId="4" xfId="0" applyAlignment="1" applyBorder="1" applyFont="1" applyNumberFormat="1">
      <alignment readingOrder="0"/>
    </xf>
    <xf borderId="0" fillId="3" fontId="10" numFmtId="0" xfId="0" applyAlignment="1" applyFont="1">
      <alignment readingOrder="0"/>
    </xf>
    <xf borderId="1" fillId="2" fontId="1" numFmtId="165" xfId="0" applyAlignment="1" applyBorder="1" applyFont="1" applyNumberFormat="1">
      <alignment horizontal="right" readingOrder="0"/>
    </xf>
    <xf borderId="1" fillId="2" fontId="1" numFmtId="0" xfId="0" applyBorder="1" applyFont="1"/>
    <xf borderId="1" fillId="3" fontId="1" numFmtId="166" xfId="0" applyBorder="1" applyFont="1" applyNumberFormat="1"/>
    <xf borderId="1" fillId="8" fontId="4" numFmtId="0" xfId="0" applyAlignment="1" applyBorder="1" applyFill="1" applyFont="1">
      <alignment vertical="bottom"/>
    </xf>
    <xf borderId="5" fillId="8" fontId="4" numFmtId="0" xfId="0" applyAlignment="1" applyBorder="1" applyFont="1">
      <alignment horizontal="right" vertical="top"/>
    </xf>
    <xf borderId="5" fillId="8" fontId="4" numFmtId="0" xfId="0" applyAlignment="1" applyBorder="1" applyFont="1">
      <alignment vertical="top"/>
    </xf>
    <xf borderId="5" fillId="8" fontId="4" numFmtId="3" xfId="0" applyAlignment="1" applyBorder="1" applyFont="1" applyNumberFormat="1">
      <alignment horizontal="right" vertical="top"/>
    </xf>
    <xf borderId="5" fillId="8" fontId="4" numFmtId="0" xfId="0" applyAlignment="1" applyBorder="1" applyFont="1">
      <alignment vertical="bottom"/>
    </xf>
    <xf borderId="5" fillId="8" fontId="4" numFmtId="166" xfId="0" applyAlignment="1" applyBorder="1" applyFont="1" applyNumberFormat="1">
      <alignment vertical="bottom"/>
    </xf>
    <xf borderId="5" fillId="8" fontId="4" numFmtId="10" xfId="0" applyAlignment="1" applyBorder="1" applyFont="1" applyNumberFormat="1">
      <alignment vertical="bottom"/>
    </xf>
    <xf borderId="0" fillId="8" fontId="4" numFmtId="0" xfId="0" applyAlignment="1" applyFont="1">
      <alignment vertical="bottom"/>
    </xf>
    <xf borderId="0" fillId="8" fontId="4" numFmtId="0" xfId="0" applyAlignment="1" applyFont="1">
      <alignment vertical="bottom"/>
    </xf>
    <xf borderId="6" fillId="8" fontId="4" numFmtId="0" xfId="0" applyAlignment="1" applyBorder="1" applyFont="1">
      <alignment vertical="bottom"/>
    </xf>
    <xf borderId="7" fillId="8" fontId="4" numFmtId="0" xfId="0" applyAlignment="1" applyBorder="1" applyFont="1">
      <alignment horizontal="right" vertical="top"/>
    </xf>
    <xf borderId="7" fillId="8" fontId="4" numFmtId="0" xfId="0" applyAlignment="1" applyBorder="1" applyFont="1">
      <alignment vertical="top"/>
    </xf>
    <xf borderId="7" fillId="8" fontId="4" numFmtId="3" xfId="0" applyAlignment="1" applyBorder="1" applyFont="1" applyNumberFormat="1">
      <alignment horizontal="right" vertical="top"/>
    </xf>
    <xf borderId="7" fillId="8" fontId="4" numFmtId="0" xfId="0" applyAlignment="1" applyBorder="1" applyFont="1">
      <alignment vertical="bottom"/>
    </xf>
    <xf borderId="7" fillId="8" fontId="4" numFmtId="166" xfId="0" applyAlignment="1" applyBorder="1" applyFont="1" applyNumberFormat="1">
      <alignment vertical="bottom"/>
    </xf>
    <xf borderId="7" fillId="8" fontId="4" numFmtId="10" xfId="0" applyAlignment="1" applyBorder="1" applyFont="1" applyNumberFormat="1">
      <alignment vertical="bottom"/>
    </xf>
    <xf borderId="0" fillId="2" fontId="1" numFmtId="0" xfId="0" applyFont="1"/>
    <xf borderId="0" fillId="0" fontId="9" numFmtId="0" xfId="0" applyAlignment="1" applyFont="1">
      <alignment horizontal="left" readingOrder="0" shrinkToFit="0" vertical="bottom" wrapText="0"/>
    </xf>
    <xf borderId="1" fillId="6" fontId="2" numFmtId="0" xfId="0" applyAlignment="1" applyBorder="1" applyFont="1">
      <alignment readingOrder="0"/>
    </xf>
    <xf borderId="1" fillId="0" fontId="4" numFmtId="3" xfId="0" applyAlignment="1" applyBorder="1" applyFont="1" applyNumberFormat="1">
      <alignment horizontal="right" readingOrder="0" vertical="top"/>
    </xf>
    <xf borderId="1" fillId="3" fontId="4" numFmtId="0" xfId="0" applyAlignment="1" applyBorder="1" applyFont="1">
      <alignment readingOrder="0" vertical="top"/>
    </xf>
    <xf borderId="1" fillId="3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right" readingOrder="0"/>
    </xf>
    <xf borderId="0" fillId="9" fontId="11" numFmtId="0" xfId="0" applyAlignment="1" applyFill="1" applyFont="1">
      <alignment horizontal="righ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7" numFmtId="10" xfId="0" applyFont="1" applyNumberFormat="1"/>
    <xf borderId="0" fillId="0" fontId="7" numFmtId="3" xfId="0" applyFont="1" applyNumberFormat="1"/>
    <xf borderId="0" fillId="0" fontId="7" numFmtId="10" xfId="0" applyAlignment="1" applyFont="1" applyNumberFormat="1">
      <alignment readingOrder="0"/>
    </xf>
    <xf borderId="0" fillId="2" fontId="7" numFmtId="4" xfId="0" applyAlignment="1" applyFont="1" applyNumberFormat="1">
      <alignment readingOrder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7" numFmtId="9" xfId="0" applyAlignment="1" applyFont="1" applyNumberFormat="1">
      <alignment readingOrder="0"/>
    </xf>
    <xf borderId="0" fillId="0" fontId="7" numFmtId="4" xfId="0" applyFont="1" applyNumberFormat="1"/>
    <xf borderId="0" fillId="2" fontId="7" numFmtId="0" xfId="0" applyAlignment="1" applyFont="1">
      <alignment readingOrder="0"/>
    </xf>
    <xf borderId="0" fillId="2" fontId="7" numFmtId="0" xfId="0" applyFont="1"/>
    <xf borderId="0" fillId="2" fontId="7" numFmtId="4" xfId="0" applyFont="1" applyNumberFormat="1"/>
    <xf borderId="0" fillId="0" fontId="7" numFmtId="3" xfId="0" applyAlignment="1" applyFont="1" applyNumberFormat="1">
      <alignment readingOrder="0"/>
    </xf>
    <xf borderId="0" fillId="5" fontId="7" numFmtId="0" xfId="0" applyAlignment="1" applyFont="1">
      <alignment readingOrder="0"/>
    </xf>
    <xf borderId="0" fillId="5" fontId="7" numFmtId="0" xfId="0" applyFont="1"/>
    <xf borderId="0" fillId="5" fontId="7" numFmtId="4" xfId="0" applyFont="1" applyNumberFormat="1"/>
    <xf borderId="0" fillId="6" fontId="7" numFmtId="164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7" fontId="7" numFmtId="9" xfId="0" applyAlignment="1" applyFont="1" applyNumberFormat="1">
      <alignment readingOrder="0"/>
    </xf>
    <xf borderId="0" fillId="0" fontId="1" numFmtId="4" xfId="0" applyFont="1" applyNumberFormat="1"/>
    <xf borderId="1" fillId="0" fontId="7" numFmtId="0" xfId="0" applyAlignment="1" applyBorder="1" applyFont="1">
      <alignment readingOrder="0"/>
    </xf>
    <xf borderId="1" fillId="0" fontId="12" numFmtId="0" xfId="0" applyAlignment="1" applyBorder="1" applyFont="1">
      <alignment readingOrder="0" vertical="top"/>
    </xf>
    <xf borderId="1" fillId="0" fontId="12" numFmtId="0" xfId="0" applyAlignment="1" applyBorder="1" applyFont="1">
      <alignment vertical="top"/>
    </xf>
    <xf borderId="1" fillId="0" fontId="12" numFmtId="0" xfId="0" applyAlignment="1" applyBorder="1" applyFont="1">
      <alignment horizontal="left" readingOrder="0" vertical="top"/>
    </xf>
    <xf borderId="1" fillId="0" fontId="12" numFmtId="0" xfId="0" applyAlignment="1" applyBorder="1" applyFont="1">
      <alignment readingOrder="0"/>
    </xf>
    <xf borderId="1" fillId="0" fontId="12" numFmtId="0" xfId="0" applyAlignment="1" applyBorder="1" applyFont="1">
      <alignment readingOrder="0" shrinkToFit="0" wrapText="1"/>
    </xf>
    <xf borderId="1" fillId="0" fontId="12" numFmtId="10" xfId="0" applyAlignment="1" applyBorder="1" applyFont="1" applyNumberFormat="1">
      <alignment readingOrder="0"/>
    </xf>
    <xf borderId="1" fillId="6" fontId="12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readingOrder="0" shrinkToFit="0" wrapText="1"/>
    </xf>
    <xf borderId="1" fillId="10" fontId="7" numFmtId="0" xfId="0" applyAlignment="1" applyBorder="1" applyFill="1" applyFont="1">
      <alignment readingOrder="0" shrinkToFit="0" wrapText="1"/>
    </xf>
    <xf borderId="1" fillId="11" fontId="7" numFmtId="0" xfId="0" applyAlignment="1" applyBorder="1" applyFill="1" applyFont="1">
      <alignment readingOrder="0" shrinkToFit="0" wrapText="1"/>
    </xf>
    <xf borderId="1" fillId="0" fontId="7" numFmtId="3" xfId="0" applyAlignment="1" applyBorder="1" applyFont="1" applyNumberFormat="1">
      <alignment readingOrder="0"/>
    </xf>
    <xf borderId="1" fillId="0" fontId="7" numFmtId="0" xfId="0" applyAlignment="1" applyBorder="1" applyFont="1">
      <alignment horizontal="right" vertical="top"/>
    </xf>
    <xf borderId="1" fillId="3" fontId="7" numFmtId="0" xfId="0" applyAlignment="1" applyBorder="1" applyFont="1">
      <alignment vertical="top"/>
    </xf>
    <xf borderId="1" fillId="0" fontId="7" numFmtId="3" xfId="0" applyAlignment="1" applyBorder="1" applyFont="1" applyNumberFormat="1">
      <alignment horizontal="left" readingOrder="0" vertical="top"/>
    </xf>
    <xf borderId="1" fillId="0" fontId="7" numFmtId="3" xfId="0" applyAlignment="1" applyBorder="1" applyFont="1" applyNumberFormat="1">
      <alignment horizontal="right" readingOrder="0" vertical="top"/>
    </xf>
    <xf borderId="1" fillId="11" fontId="7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1" fillId="3" fontId="7" numFmtId="166" xfId="0" applyAlignment="1" applyBorder="1" applyFont="1" applyNumberFormat="1">
      <alignment readingOrder="0"/>
    </xf>
    <xf borderId="1" fillId="3" fontId="7" numFmtId="167" xfId="0" applyAlignment="1" applyBorder="1" applyFont="1" applyNumberFormat="1">
      <alignment readingOrder="0"/>
    </xf>
    <xf borderId="1" fillId="0" fontId="7" numFmtId="4" xfId="0" applyAlignment="1" applyBorder="1" applyFont="1" applyNumberFormat="1">
      <alignment readingOrder="0"/>
    </xf>
    <xf borderId="1" fillId="3" fontId="7" numFmtId="0" xfId="0" applyAlignment="1" applyBorder="1" applyFont="1">
      <alignment readingOrder="0"/>
    </xf>
    <xf borderId="1" fillId="0" fontId="7" numFmtId="0" xfId="0" applyBorder="1" applyFont="1"/>
    <xf borderId="1" fillId="0" fontId="7" numFmtId="10" xfId="0" applyBorder="1" applyFont="1" applyNumberFormat="1"/>
    <xf borderId="1" fillId="0" fontId="7" numFmtId="3" xfId="0" applyBorder="1" applyFont="1" applyNumberFormat="1"/>
    <xf borderId="1" fillId="10" fontId="7" numFmtId="0" xfId="0" applyBorder="1" applyFont="1"/>
    <xf borderId="1" fillId="11" fontId="7" numFmtId="0" xfId="0" applyBorder="1" applyFont="1"/>
    <xf borderId="0" fillId="0" fontId="12" numFmtId="0" xfId="0" applyAlignment="1" applyFont="1">
      <alignment readingOrder="0"/>
    </xf>
    <xf borderId="1" fillId="3" fontId="7" numFmtId="0" xfId="0" applyAlignment="1" applyBorder="1" applyFont="1">
      <alignment readingOrder="0" vertical="top"/>
    </xf>
    <xf borderId="1" fillId="0" fontId="7" numFmtId="0" xfId="0" applyAlignment="1" applyBorder="1" applyFont="1">
      <alignment vertical="top"/>
    </xf>
    <xf borderId="1" fillId="3" fontId="7" numFmtId="168" xfId="0" applyAlignment="1" applyBorder="1" applyFont="1" applyNumberFormat="1">
      <alignment readingOrder="0"/>
    </xf>
    <xf borderId="1" fillId="0" fontId="7" numFmtId="0" xfId="0" applyAlignment="1" applyBorder="1" applyFont="1">
      <alignment readingOrder="0" vertical="top"/>
    </xf>
    <xf borderId="1" fillId="3" fontId="7" numFmtId="3" xfId="0" applyAlignment="1" applyBorder="1" applyFont="1" applyNumberFormat="1">
      <alignment horizontal="left" readingOrder="0" vertical="top"/>
    </xf>
    <xf borderId="1" fillId="3" fontId="7" numFmtId="0" xfId="0" applyAlignment="1" applyBorder="1" applyFont="1">
      <alignment horizontal="right" readingOrder="0"/>
    </xf>
    <xf borderId="1" fillId="3" fontId="0" numFmtId="0" xfId="0" applyAlignment="1" applyBorder="1" applyFont="1">
      <alignment readingOrder="0" shrinkToFit="0" vertical="bottom" wrapText="0"/>
    </xf>
    <xf borderId="1" fillId="2" fontId="7" numFmtId="0" xfId="0" applyBorder="1" applyFont="1"/>
    <xf borderId="0" fillId="0" fontId="14" numFmtId="0" xfId="0" applyAlignment="1" applyFont="1">
      <alignment readingOrder="0"/>
    </xf>
    <xf borderId="0" fillId="0" fontId="14" numFmtId="9" xfId="0" applyAlignment="1" applyFont="1" applyNumberFormat="1">
      <alignment readingOrder="0"/>
    </xf>
    <xf borderId="1" fillId="3" fontId="0" numFmtId="0" xfId="0" applyAlignment="1" applyBorder="1" applyFont="1">
      <alignment readingOrder="0" shrinkToFit="0" vertical="top" wrapText="0"/>
    </xf>
    <xf borderId="1" fillId="9" fontId="0" numFmtId="0" xfId="0" applyAlignment="1" applyBorder="1" applyFont="1">
      <alignment horizontal="right" readingOrder="0"/>
    </xf>
    <xf borderId="0" fillId="0" fontId="7" numFmtId="170" xfId="0" applyAlignment="1" applyFont="1" applyNumberFormat="1">
      <alignment readingOrder="0"/>
    </xf>
    <xf borderId="0" fillId="0" fontId="14" numFmtId="171" xfId="0" applyAlignment="1" applyFont="1" applyNumberFormat="1">
      <alignment readingOrder="0"/>
    </xf>
    <xf borderId="0" fillId="0" fontId="14" numFmtId="171" xfId="0" applyFont="1" applyNumberFormat="1"/>
    <xf borderId="0" fillId="0" fontId="7" numFmtId="172" xfId="0" applyAlignment="1" applyFont="1" applyNumberFormat="1">
      <alignment readingOrder="0"/>
    </xf>
    <xf borderId="0" fillId="0" fontId="15" numFmtId="171" xfId="0" applyFont="1" applyNumberFormat="1"/>
    <xf borderId="1" fillId="3" fontId="7" numFmtId="169" xfId="0" applyAlignment="1" applyBorder="1" applyFont="1" applyNumberFormat="1">
      <alignment horizontal="right" readingOrder="0"/>
    </xf>
    <xf borderId="1" fillId="3" fontId="7" numFmtId="166" xfId="0" applyAlignment="1" applyBorder="1" applyFont="1" applyNumberFormat="1">
      <alignment horizontal="right" readingOrder="0"/>
    </xf>
    <xf borderId="0" fillId="0" fontId="14" numFmtId="0" xfId="0" applyFont="1"/>
    <xf borderId="1" fillId="3" fontId="7" numFmtId="4" xfId="0" applyAlignment="1" applyBorder="1" applyFont="1" applyNumberFormat="1">
      <alignment readingOrder="0"/>
    </xf>
    <xf borderId="0" fillId="0" fontId="15" numFmtId="0" xfId="0" applyFont="1"/>
    <xf borderId="0" fillId="0" fontId="15" numFmtId="0" xfId="0" applyAlignment="1" applyFont="1">
      <alignment readingOrder="0"/>
    </xf>
    <xf borderId="1" fillId="3" fontId="7" numFmtId="165" xfId="0" applyAlignment="1" applyBorder="1" applyFont="1" applyNumberFormat="1">
      <alignment horizontal="right" readingOrder="0"/>
    </xf>
    <xf borderId="5" fillId="2" fontId="9" numFmtId="0" xfId="0" applyAlignment="1" applyBorder="1" applyFont="1">
      <alignment horizontal="right" readingOrder="0" shrinkToFit="0" vertical="bottom" wrapText="0"/>
    </xf>
    <xf borderId="1" fillId="2" fontId="7" numFmtId="169" xfId="0" applyAlignment="1" applyBorder="1" applyFont="1" applyNumberFormat="1">
      <alignment readingOrder="0"/>
    </xf>
    <xf borderId="1" fillId="2" fontId="7" numFmtId="173" xfId="0" applyAlignment="1" applyBorder="1" applyFont="1" applyNumberFormat="1">
      <alignment readingOrder="0"/>
    </xf>
    <xf borderId="1" fillId="2" fontId="7" numFmtId="4" xfId="0" applyAlignment="1" applyBorder="1" applyFont="1" applyNumberFormat="1">
      <alignment readingOrder="0"/>
    </xf>
    <xf borderId="1" fillId="5" fontId="7" numFmtId="0" xfId="0" applyAlignment="1" applyBorder="1" applyFont="1">
      <alignment readingOrder="0"/>
    </xf>
    <xf borderId="0" fillId="3" fontId="7" numFmtId="0" xfId="0" applyFont="1"/>
    <xf borderId="0" fillId="3" fontId="7" numFmtId="0" xfId="0" applyAlignment="1" applyFont="1">
      <alignment readingOrder="0"/>
    </xf>
    <xf borderId="7" fillId="2" fontId="9" numFmtId="0" xfId="0" applyAlignment="1" applyBorder="1" applyFont="1">
      <alignment horizontal="right" readingOrder="0" shrinkToFit="0" vertical="bottom" wrapText="0"/>
    </xf>
    <xf borderId="1" fillId="2" fontId="7" numFmtId="169" xfId="0" applyAlignment="1" applyBorder="1" applyFont="1" applyNumberFormat="1">
      <alignment readingOrder="0" vertical="bottom"/>
    </xf>
    <xf borderId="1" fillId="2" fontId="7" numFmtId="167" xfId="0" applyAlignment="1" applyBorder="1" applyFont="1" applyNumberFormat="1">
      <alignment readingOrder="0" vertical="bottom"/>
    </xf>
    <xf borderId="1" fillId="3" fontId="16" numFmtId="0" xfId="0" applyAlignment="1" applyBorder="1" applyFont="1">
      <alignment readingOrder="0"/>
    </xf>
    <xf borderId="1" fillId="2" fontId="7" numFmtId="174" xfId="0" applyAlignment="1" applyBorder="1" applyFont="1" applyNumberFormat="1">
      <alignment readingOrder="0"/>
    </xf>
    <xf borderId="1" fillId="2" fontId="7" numFmtId="167" xfId="0" applyAlignment="1" applyBorder="1" applyFont="1" applyNumberFormat="1">
      <alignment readingOrder="0"/>
    </xf>
    <xf borderId="1" fillId="3" fontId="7" numFmtId="0" xfId="0" applyBorder="1" applyFont="1"/>
    <xf borderId="1" fillId="3" fontId="7" numFmtId="10" xfId="0" applyBorder="1" applyFont="1" applyNumberFormat="1"/>
    <xf borderId="1" fillId="3" fontId="7" numFmtId="3" xfId="0" applyBorder="1" applyFont="1" applyNumberFormat="1"/>
    <xf borderId="1" fillId="12" fontId="7" numFmtId="0" xfId="0" applyAlignment="1" applyBorder="1" applyFill="1" applyFont="1">
      <alignment readingOrder="0"/>
    </xf>
    <xf borderId="1" fillId="12" fontId="7" numFmtId="0" xfId="0" applyAlignment="1" applyBorder="1" applyFont="1">
      <alignment readingOrder="0" vertical="top"/>
    </xf>
    <xf borderId="1" fillId="12" fontId="7" numFmtId="3" xfId="0" applyAlignment="1" applyBorder="1" applyFont="1" applyNumberFormat="1">
      <alignment horizontal="left" readingOrder="0" vertical="top"/>
    </xf>
    <xf borderId="1" fillId="12" fontId="7" numFmtId="3" xfId="0" applyAlignment="1" applyBorder="1" applyFont="1" applyNumberFormat="1">
      <alignment horizontal="right" readingOrder="0" vertical="top"/>
    </xf>
    <xf borderId="1" fillId="12" fontId="7" numFmtId="166" xfId="0" applyAlignment="1" applyBorder="1" applyFont="1" applyNumberFormat="1">
      <alignment readingOrder="0"/>
    </xf>
    <xf borderId="1" fillId="12" fontId="7" numFmtId="167" xfId="0" applyAlignment="1" applyBorder="1" applyFont="1" applyNumberFormat="1">
      <alignment readingOrder="0"/>
    </xf>
    <xf borderId="1" fillId="12" fontId="7" numFmtId="4" xfId="0" applyAlignment="1" applyBorder="1" applyFont="1" applyNumberFormat="1">
      <alignment readingOrder="0"/>
    </xf>
    <xf borderId="1" fillId="12" fontId="7" numFmtId="0" xfId="0" applyBorder="1" applyFont="1"/>
    <xf borderId="1" fillId="0" fontId="7" numFmtId="10" xfId="0" applyAlignment="1" applyBorder="1" applyFont="1" applyNumberFormat="1">
      <alignment readingOrder="0"/>
    </xf>
    <xf borderId="1" fillId="12" fontId="7" numFmtId="3" xfId="0" applyBorder="1" applyFont="1" applyNumberFormat="1"/>
    <xf borderId="0" fillId="3" fontId="7" numFmtId="0" xfId="0" applyAlignment="1" applyFont="1">
      <alignment horizontal="left"/>
    </xf>
    <xf borderId="0" fillId="3" fontId="7" numFmtId="10" xfId="0" applyFont="1" applyNumberFormat="1"/>
    <xf borderId="0" fillId="10" fontId="7" numFmtId="0" xfId="0" applyFont="1"/>
    <xf borderId="0" fillId="11" fontId="7" numFmtId="0" xfId="0" applyFont="1"/>
    <xf borderId="0" fillId="3" fontId="7" numFmtId="3" xfId="0" applyFont="1" applyNumberFormat="1"/>
    <xf borderId="0" fillId="10" fontId="7" numFmtId="4" xfId="0" applyFont="1" applyNumberFormat="1"/>
    <xf borderId="0" fillId="11" fontId="7" numFmtId="4" xfId="0" applyFont="1" applyNumberFormat="1"/>
    <xf borderId="0" fillId="0" fontId="7" numFmtId="175" xfId="0" applyFont="1" applyNumberFormat="1"/>
    <xf borderId="0" fillId="0" fontId="7" numFmtId="2" xfId="0" applyFont="1" applyNumberFormat="1"/>
    <xf borderId="0" fillId="0" fontId="7" numFmtId="3" xfId="0" applyAlignment="1" applyFont="1" applyNumberFormat="1">
      <alignment horizontal="left"/>
    </xf>
    <xf borderId="0" fillId="0" fontId="1" numFmtId="2" xfId="0" applyFont="1" applyNumberFormat="1"/>
    <xf borderId="8" fillId="0" fontId="17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9" fillId="0" fontId="17" numFmtId="0" xfId="0" applyBorder="1" applyFont="1"/>
    <xf borderId="9" fillId="0" fontId="17" numFmtId="3" xfId="0" applyBorder="1" applyFont="1" applyNumberFormat="1"/>
    <xf borderId="10" fillId="0" fontId="17" numFmtId="0" xfId="0" applyBorder="1" applyFont="1"/>
    <xf borderId="0" fillId="3" fontId="18" numFmtId="0" xfId="0" applyAlignment="1" applyFont="1">
      <alignment readingOrder="0"/>
    </xf>
    <xf borderId="11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17" numFmtId="3" xfId="0" applyFont="1" applyNumberFormat="1"/>
    <xf borderId="12" fillId="0" fontId="17" numFmtId="0" xfId="0" applyBorder="1" applyFont="1"/>
    <xf borderId="0" fillId="0" fontId="17" numFmtId="10" xfId="0" applyFont="1" applyNumberFormat="1"/>
    <xf borderId="11" fillId="0" fontId="17" numFmtId="0" xfId="0" applyBorder="1" applyFont="1"/>
    <xf borderId="11" fillId="0" fontId="19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11" fillId="0" fontId="19" numFmtId="0" xfId="0" applyBorder="1" applyFont="1"/>
    <xf borderId="0" fillId="0" fontId="19" numFmtId="0" xfId="0" applyFont="1"/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20" numFmtId="0" xfId="0" applyFont="1"/>
    <xf borderId="0" fillId="0" fontId="20" numFmtId="0" xfId="0" applyAlignment="1" applyFont="1">
      <alignment readingOrder="0"/>
    </xf>
    <xf borderId="0" fillId="0" fontId="21" numFmtId="176" xfId="0" applyAlignment="1" applyFont="1" applyNumberFormat="1">
      <alignment readingOrder="0"/>
    </xf>
    <xf borderId="0" fillId="0" fontId="20" numFmtId="176" xfId="0" applyAlignment="1" applyFont="1" applyNumberFormat="1">
      <alignment readingOrder="0"/>
    </xf>
    <xf borderId="1" fillId="0" fontId="20" numFmtId="0" xfId="0" applyAlignment="1" applyBorder="1" applyFont="1">
      <alignment readingOrder="0"/>
    </xf>
    <xf borderId="1" fillId="0" fontId="20" numFmtId="176" xfId="0" applyBorder="1" applyFont="1" applyNumberFormat="1"/>
    <xf borderId="0" fillId="0" fontId="20" numFmtId="3" xfId="0" applyAlignment="1" applyFont="1" applyNumberFormat="1">
      <alignment readingOrder="0"/>
    </xf>
    <xf borderId="1" fillId="0" fontId="20" numFmtId="0" xfId="0" applyBorder="1" applyFont="1"/>
    <xf borderId="1" fillId="0" fontId="21" numFmtId="3" xfId="0" applyAlignment="1" applyBorder="1" applyFont="1" applyNumberFormat="1">
      <alignment readingOrder="0"/>
    </xf>
    <xf borderId="1" fillId="0" fontId="20" numFmtId="3" xfId="0" applyAlignment="1" applyBorder="1" applyFont="1" applyNumberFormat="1">
      <alignment readingOrder="0"/>
    </xf>
    <xf borderId="0" fillId="0" fontId="20" numFmtId="176" xfId="0" applyFont="1" applyNumberFormat="1"/>
    <xf borderId="0" fillId="0" fontId="20" numFmtId="171" xfId="0" applyFont="1" applyNumberFormat="1"/>
    <xf borderId="1" fillId="0" fontId="20" numFmtId="176" xfId="0" applyAlignment="1" applyBorder="1" applyFont="1" applyNumberFormat="1">
      <alignment readingOrder="0"/>
    </xf>
    <xf borderId="1" fillId="0" fontId="1" numFmtId="176" xfId="0" applyBorder="1" applyFont="1" applyNumberFormat="1"/>
    <xf borderId="1" fillId="0" fontId="20" numFmtId="171" xfId="0" applyBorder="1" applyFont="1" applyNumberFormat="1"/>
    <xf borderId="0" fillId="0" fontId="1" numFmtId="176" xfId="0" applyFont="1" applyNumberFormat="1"/>
    <xf borderId="0" fillId="0" fontId="22" numFmtId="0" xfId="0" applyAlignment="1" applyFont="1">
      <alignment vertical="bottom"/>
    </xf>
    <xf borderId="1" fillId="0" fontId="22" numFmtId="0" xfId="0" applyAlignment="1" applyBorder="1" applyFont="1">
      <alignment vertical="bottom"/>
    </xf>
    <xf borderId="1" fillId="0" fontId="23" numFmtId="0" xfId="0" applyAlignment="1" applyBorder="1" applyFont="1">
      <alignment vertical="bottom"/>
    </xf>
    <xf borderId="1" fillId="0" fontId="22" numFmtId="171" xfId="0" applyAlignment="1" applyBorder="1" applyFont="1" applyNumberFormat="1">
      <alignment horizontal="right" vertical="bottom"/>
    </xf>
    <xf borderId="1" fillId="0" fontId="22" numFmtId="9" xfId="0" applyAlignment="1" applyBorder="1" applyFont="1" applyNumberFormat="1">
      <alignment horizontal="right" vertical="bottom"/>
    </xf>
    <xf borderId="1" fillId="0" fontId="22" numFmtId="171" xfId="0" applyAlignment="1" applyBorder="1" applyFont="1" applyNumberFormat="1">
      <alignment vertical="bottom"/>
    </xf>
    <xf borderId="1" fillId="0" fontId="22" numFmtId="0" xfId="0" applyAlignment="1" applyBorder="1" applyFont="1">
      <alignment readingOrder="0" vertical="bottom"/>
    </xf>
    <xf borderId="1" fillId="0" fontId="22" numFmtId="3" xfId="0" applyAlignment="1" applyBorder="1" applyFont="1" applyNumberFormat="1">
      <alignment vertical="bottom"/>
    </xf>
    <xf borderId="1" fillId="0" fontId="1" numFmtId="177" xfId="0" applyBorder="1" applyFont="1" applyNumberFormat="1"/>
    <xf borderId="0" fillId="0" fontId="22" numFmtId="171" xfId="0" applyAlignment="1" applyFont="1" applyNumberFormat="1">
      <alignment readingOrder="0" vertical="bottom"/>
    </xf>
    <xf borderId="1" fillId="2" fontId="22" numFmtId="171" xfId="0" applyAlignment="1" applyBorder="1" applyFont="1" applyNumberFormat="1">
      <alignment horizontal="right" vertical="bottom"/>
    </xf>
    <xf borderId="1" fillId="0" fontId="22" numFmtId="10" xfId="0" applyAlignment="1" applyBorder="1" applyFont="1" applyNumberFormat="1">
      <alignment horizontal="right" vertical="bottom"/>
    </xf>
    <xf borderId="0" fillId="0" fontId="22" numFmtId="3" xfId="0" applyAlignment="1" applyFont="1" applyNumberFormat="1">
      <alignment horizontal="right" vertical="bottom"/>
    </xf>
    <xf borderId="0" fillId="0" fontId="22" numFmtId="178" xfId="0" applyAlignment="1" applyFont="1" applyNumberFormat="1">
      <alignment vertical="bottom"/>
    </xf>
    <xf borderId="0" fillId="0" fontId="22" numFmtId="9" xfId="0" applyAlignment="1" applyFont="1" applyNumberFormat="1">
      <alignment vertical="bottom"/>
    </xf>
    <xf borderId="0" fillId="0" fontId="22" numFmtId="171" xfId="0" applyAlignment="1" applyFont="1" applyNumberFormat="1">
      <alignment vertical="bottom"/>
    </xf>
    <xf borderId="0" fillId="0" fontId="22" numFmtId="9" xfId="0" applyAlignment="1" applyFont="1" applyNumberFormat="1">
      <alignment readingOrder="0" vertical="bottom"/>
    </xf>
    <xf borderId="0" fillId="0" fontId="22" numFmtId="0" xfId="0" applyAlignment="1" applyFont="1">
      <alignment readingOrder="0" vertical="bottom"/>
    </xf>
    <xf borderId="1" fillId="0" fontId="5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1" fillId="6" fontId="4" numFmtId="0" xfId="0" applyAlignment="1" applyBorder="1" applyFont="1">
      <alignment vertical="top"/>
    </xf>
    <xf borderId="1" fillId="6" fontId="4" numFmtId="3" xfId="0" applyAlignment="1" applyBorder="1" applyFont="1" applyNumberFormat="1">
      <alignment horizontal="right" vertical="top"/>
    </xf>
    <xf borderId="1" fillId="0" fontId="4" numFmtId="3" xfId="0" applyAlignment="1" applyBorder="1" applyFont="1" applyNumberFormat="1">
      <alignment horizontal="right" vertical="bottom"/>
    </xf>
    <xf borderId="0" fillId="0" fontId="22" numFmtId="10" xfId="0" applyAlignment="1" applyFont="1" applyNumberFormat="1">
      <alignment horizontal="right" vertical="bottom"/>
    </xf>
    <xf borderId="0" fillId="0" fontId="22" numFmtId="171" xfId="0" applyAlignment="1" applyFont="1" applyNumberFormat="1">
      <alignment horizontal="right" vertical="bottom"/>
    </xf>
    <xf borderId="0" fillId="0" fontId="22" numFmtId="0" xfId="0" applyAlignment="1" applyFont="1">
      <alignment horizontal="right" vertical="bottom"/>
    </xf>
    <xf borderId="1" fillId="6" fontId="22" numFmtId="3" xfId="0" applyAlignment="1" applyBorder="1" applyFont="1" applyNumberFormat="1">
      <alignment vertical="bottom"/>
    </xf>
    <xf borderId="1" fillId="4" fontId="24" numFmtId="3" xfId="0" applyAlignment="1" applyBorder="1" applyFont="1" applyNumberFormat="1">
      <alignment vertical="bottom"/>
    </xf>
    <xf borderId="1" fillId="4" fontId="9" numFmtId="3" xfId="0" applyAlignment="1" applyBorder="1" applyFont="1" applyNumberFormat="1">
      <alignment horizontal="right" vertical="bottom"/>
    </xf>
    <xf borderId="1" fillId="4" fontId="24" numFmtId="3" xfId="0" applyAlignment="1" applyBorder="1" applyFont="1" applyNumberFormat="1">
      <alignment vertical="top"/>
    </xf>
    <xf borderId="1" fillId="4" fontId="22" numFmtId="3" xfId="0" applyAlignment="1" applyBorder="1" applyFont="1" applyNumberFormat="1">
      <alignment vertical="bottom"/>
    </xf>
    <xf borderId="0" fillId="0" fontId="22" numFmtId="10" xfId="0" applyAlignment="1" applyFont="1" applyNumberFormat="1">
      <alignment readingOrder="0" vertical="bottom"/>
    </xf>
    <xf borderId="1" fillId="4" fontId="22" numFmtId="3" xfId="0" applyAlignment="1" applyBorder="1" applyFont="1" applyNumberFormat="1">
      <alignment vertical="top"/>
    </xf>
    <xf borderId="1" fillId="3" fontId="4" numFmtId="0" xfId="0" applyAlignment="1" applyBorder="1" applyFont="1">
      <alignment vertical="bottom"/>
    </xf>
    <xf borderId="0" fillId="6" fontId="22" numFmtId="0" xfId="0" applyAlignment="1" applyFont="1">
      <alignment horizontal="right" vertical="bottom"/>
    </xf>
    <xf borderId="0" fillId="0" fontId="22" numFmtId="3" xfId="0" applyAlignment="1" applyFont="1" applyNumberFormat="1">
      <alignment vertical="bottom"/>
    </xf>
    <xf borderId="0" fillId="0" fontId="2" numFmtId="0" xfId="0" applyFont="1"/>
    <xf borderId="0" fillId="2" fontId="1" numFmtId="171" xfId="0" applyFont="1" applyNumberFormat="1"/>
    <xf borderId="0" fillId="0" fontId="1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390525</xdr:colOff>
      <xdr:row>8</xdr:row>
      <xdr:rowOff>152400</xdr:rowOff>
    </xdr:from>
    <xdr:ext cx="8181975" cy="4514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</xdr:row>
      <xdr:rowOff>152400</xdr:rowOff>
    </xdr:from>
    <xdr:ext cx="9144000" cy="514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44000" cy="51435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ayne Chen" id="{626e8d80-34fe-4cfd-9de0-1fdd56947edf}" providerId="google-sheets"/>
  <x18tc:person displayName="Derrick Teo" id="{1631ea5c-377b-48ea-88cb-8aa0ad62490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0" dT="2025-09-04T14:15:13.00" personId="{1631ea5c-377b-48ea-88cb-8aa0ad62490b}" id="{0f407e59-5105-45f6-9865-bff63f94ff9d}" done="0">
    <x18tc:text xml:space="preserve">manually adjust from 4 to 3.</x18tc:text>
  </x18tc:threadedComment>
  <x18tc:threadedComment ref="O11" dT="2025-08-04T15:11:07.00" personId="{626e8d80-34fe-4cfd-9de0-1fdd56947edf}" id="{dd316bc9-f889-43df-8df4-cb5cfa6fee22}" done="0">
    <x18tc:text xml:space="preserve">Adjusted from 2 to 4. She did not achieve KPI because she was standing in for Chloe as Payroll Master.</x18tc:text>
  </x18tc:threadedComment>
  <x18tc:threadedComment ref="O16" dT="2025-09-04T14:08:28.00" personId="{1631ea5c-377b-48ea-88cb-8aa0ad62490b}" id="{c33717fa-9b4f-41b1-ad28-bcd937338c06}" done="0">
    <x18tc:text xml:space="preserve">Adjusted from 3 to 2, because Ben was being too kind to Yeoh in the rating.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3.0"/>
    <col customWidth="1" min="3" max="3" width="24.5"/>
    <col customWidth="1" min="4" max="7" width="9.38"/>
    <col customWidth="1" min="8" max="8" width="10.38"/>
    <col customWidth="1" min="9" max="9" width="6.88"/>
    <col customWidth="1" min="10" max="10" width="21.0"/>
    <col customWidth="1" min="11" max="14" width="7.0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2" t="s">
        <v>7</v>
      </c>
      <c r="D3" s="4">
        <v>3.0E7</v>
      </c>
      <c r="E3" s="4">
        <v>3.0E7</v>
      </c>
      <c r="F3" s="5">
        <v>3.2432432E7</v>
      </c>
      <c r="G3" s="6">
        <f>F3</f>
        <v>32432432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7">
        <v>0.2</v>
      </c>
      <c r="C4" s="2" t="s">
        <v>8</v>
      </c>
      <c r="D4" s="6">
        <f t="shared" ref="D4:I4" si="1">$B$4*D3</f>
        <v>6000000</v>
      </c>
      <c r="E4" s="6">
        <f t="shared" si="1"/>
        <v>6000000</v>
      </c>
      <c r="F4" s="6">
        <f t="shared" si="1"/>
        <v>6486486.4</v>
      </c>
      <c r="G4" s="6">
        <f t="shared" si="1"/>
        <v>6486486.4</v>
      </c>
      <c r="H4" s="1">
        <f t="shared" si="1"/>
        <v>0</v>
      </c>
      <c r="I4" s="1">
        <f t="shared" si="1"/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"/>
      <c r="C5" s="2" t="s">
        <v>9</v>
      </c>
      <c r="D5" s="6">
        <f t="shared" ref="D5:I5" si="2">D4/5</f>
        <v>1200000</v>
      </c>
      <c r="E5" s="6">
        <f t="shared" si="2"/>
        <v>1200000</v>
      </c>
      <c r="F5" s="6">
        <f t="shared" si="2"/>
        <v>1297297.28</v>
      </c>
      <c r="G5" s="6">
        <f t="shared" si="2"/>
        <v>1297297.28</v>
      </c>
      <c r="H5" s="1">
        <f t="shared" si="2"/>
        <v>0</v>
      </c>
      <c r="I5" s="1">
        <f t="shared" si="2"/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"/>
      <c r="C6" s="1"/>
      <c r="D6" s="8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1"/>
      <c r="C7" s="9" t="s">
        <v>10</v>
      </c>
      <c r="D7" s="10">
        <v>461000.0</v>
      </c>
      <c r="E7" s="6">
        <f t="shared" ref="E7:G7" si="3">F5*E8</f>
        <v>648648.64</v>
      </c>
      <c r="F7" s="6">
        <f t="shared" si="3"/>
        <v>648648.64</v>
      </c>
      <c r="G7" s="6">
        <f t="shared" si="3"/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1"/>
      <c r="C8" s="12" t="s">
        <v>11</v>
      </c>
      <c r="D8" s="13">
        <f>D7/E5</f>
        <v>0.3841666667</v>
      </c>
      <c r="E8" s="14">
        <v>0.5</v>
      </c>
      <c r="F8" s="14">
        <v>0.5</v>
      </c>
      <c r="G8" s="14">
        <v>0.5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1"/>
      <c r="D9" s="15" t="s">
        <v>12</v>
      </c>
      <c r="E9" s="16" t="s">
        <v>13</v>
      </c>
      <c r="F9" s="16" t="s">
        <v>14</v>
      </c>
      <c r="G9" s="16" t="s">
        <v>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1"/>
      <c r="C10" s="2" t="s">
        <v>16</v>
      </c>
      <c r="D10" s="1"/>
      <c r="E10" s="1"/>
      <c r="F10" s="1"/>
      <c r="H10" s="6">
        <f>G3</f>
        <v>32432432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11"/>
      <c r="C11" s="17" t="s">
        <v>17</v>
      </c>
      <c r="D11" s="18">
        <f t="shared" ref="D11:G11" si="4">sum(D15:D200)</f>
        <v>366000</v>
      </c>
      <c r="E11" s="18">
        <f t="shared" si="4"/>
        <v>0</v>
      </c>
      <c r="F11" s="18">
        <f t="shared" si="4"/>
        <v>1200000</v>
      </c>
      <c r="G11" s="18">
        <f t="shared" si="4"/>
        <v>535300</v>
      </c>
      <c r="H11" s="19">
        <f>sum(D11:G11)</f>
        <v>2101300</v>
      </c>
      <c r="I11" s="1"/>
      <c r="J11" s="1"/>
      <c r="K11" s="2"/>
      <c r="L11" s="2"/>
      <c r="M11" s="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H12" s="20">
        <f>H11/H10</f>
        <v>0.0647900842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21" t="s">
        <v>18</v>
      </c>
      <c r="C13" s="22"/>
      <c r="D13" s="21" t="s">
        <v>19</v>
      </c>
      <c r="E13" s="22"/>
      <c r="F13" s="21" t="s">
        <v>20</v>
      </c>
      <c r="G13" s="23">
        <v>45879.0</v>
      </c>
      <c r="H13" s="24"/>
      <c r="I13" s="24"/>
      <c r="J13" s="2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25" t="s">
        <v>21</v>
      </c>
      <c r="C14" s="25" t="s">
        <v>22</v>
      </c>
      <c r="D14" s="15" t="s">
        <v>12</v>
      </c>
      <c r="E14" s="16" t="s">
        <v>13</v>
      </c>
      <c r="F14" s="16" t="s">
        <v>14</v>
      </c>
      <c r="G14" s="16" t="s">
        <v>15</v>
      </c>
      <c r="H14" s="16" t="s">
        <v>23</v>
      </c>
      <c r="I14" s="26"/>
      <c r="J14" s="27" t="s">
        <v>24</v>
      </c>
      <c r="K14" s="2"/>
      <c r="L14" s="2"/>
      <c r="M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28">
        <v>1.0</v>
      </c>
      <c r="C15" s="29" t="s">
        <v>25</v>
      </c>
      <c r="D15" s="30">
        <v>60000.0</v>
      </c>
      <c r="E15" s="31"/>
      <c r="F15" s="31">
        <v>71595.33073929962</v>
      </c>
      <c r="G15" s="31">
        <v>40400.0</v>
      </c>
      <c r="H15" s="31">
        <f t="shared" ref="H15:H21" si="5">sum(D15:G15)</f>
        <v>171995.3307</v>
      </c>
      <c r="I15" s="27"/>
      <c r="J15" s="32" t="s">
        <v>26</v>
      </c>
      <c r="K15" s="1"/>
      <c r="L15" s="1"/>
      <c r="M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28">
        <v>2.0</v>
      </c>
      <c r="C16" s="29" t="s">
        <v>27</v>
      </c>
      <c r="D16" s="30">
        <v>60000.0</v>
      </c>
      <c r="E16" s="31"/>
      <c r="F16" s="31">
        <v>71595.33073929962</v>
      </c>
      <c r="G16" s="31">
        <v>40400.0</v>
      </c>
      <c r="H16" s="31">
        <f t="shared" si="5"/>
        <v>171995.3307</v>
      </c>
      <c r="I16" s="26"/>
      <c r="J16" s="32" t="s">
        <v>28</v>
      </c>
      <c r="K16" s="1"/>
      <c r="L16" s="1"/>
      <c r="M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28">
        <v>3.0</v>
      </c>
      <c r="C17" s="29" t="s">
        <v>29</v>
      </c>
      <c r="D17" s="30">
        <v>35000.0</v>
      </c>
      <c r="E17" s="31"/>
      <c r="F17" s="31">
        <v>66926.0700389105</v>
      </c>
      <c r="G17" s="31">
        <v>39200.0</v>
      </c>
      <c r="H17" s="31">
        <f t="shared" si="5"/>
        <v>141126.07</v>
      </c>
      <c r="I17" s="27"/>
      <c r="J17" s="32" t="s">
        <v>30</v>
      </c>
      <c r="K17" s="1"/>
      <c r="L17" s="1"/>
      <c r="M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28">
        <v>4.0</v>
      </c>
      <c r="C18" s="33" t="s">
        <v>31</v>
      </c>
      <c r="D18" s="30">
        <v>40000.0</v>
      </c>
      <c r="E18" s="31"/>
      <c r="F18" s="31">
        <v>69260.70038910506</v>
      </c>
      <c r="G18" s="31">
        <v>42700.0</v>
      </c>
      <c r="H18" s="31">
        <f t="shared" si="5"/>
        <v>151960.7004</v>
      </c>
      <c r="I18" s="27"/>
      <c r="J18" s="32" t="s">
        <v>32</v>
      </c>
      <c r="K18" s="1"/>
      <c r="L18" s="1"/>
      <c r="M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28">
        <v>5.0</v>
      </c>
      <c r="C19" s="29" t="s">
        <v>33</v>
      </c>
      <c r="D19" s="30"/>
      <c r="E19" s="31"/>
      <c r="F19" s="31">
        <v>44357.976653696496</v>
      </c>
      <c r="G19" s="34"/>
      <c r="H19" s="31">
        <f t="shared" si="5"/>
        <v>44357.97665</v>
      </c>
      <c r="I19" s="26"/>
      <c r="J19" s="34"/>
      <c r="K19" s="1"/>
      <c r="L19" s="1"/>
      <c r="M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35"/>
      <c r="B20" s="28">
        <v>6.0</v>
      </c>
      <c r="C20" s="33" t="s">
        <v>34</v>
      </c>
      <c r="D20" s="30">
        <v>40000.0</v>
      </c>
      <c r="E20" s="31"/>
      <c r="F20" s="31">
        <v>66926.0700389105</v>
      </c>
      <c r="G20" s="31">
        <v>9700.0</v>
      </c>
      <c r="H20" s="31">
        <f t="shared" si="5"/>
        <v>116626.07</v>
      </c>
      <c r="I20" s="27"/>
      <c r="J20" s="32" t="s">
        <v>35</v>
      </c>
      <c r="K20" s="1"/>
      <c r="L20" s="1"/>
      <c r="M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28">
        <v>7.0</v>
      </c>
      <c r="C21" s="29" t="s">
        <v>36</v>
      </c>
      <c r="D21" s="30">
        <v>26000.0</v>
      </c>
      <c r="E21" s="31"/>
      <c r="F21" s="31">
        <v>52140.07782101167</v>
      </c>
      <c r="G21" s="31">
        <v>9700.0</v>
      </c>
      <c r="H21" s="31">
        <f t="shared" si="5"/>
        <v>87840.07782</v>
      </c>
      <c r="I21" s="27"/>
      <c r="J21" s="32" t="s">
        <v>37</v>
      </c>
      <c r="K21" s="1"/>
      <c r="L21" s="1"/>
      <c r="M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35"/>
      <c r="B22" s="28">
        <v>8.0</v>
      </c>
      <c r="C22" s="29" t="s">
        <v>38</v>
      </c>
      <c r="D22" s="36"/>
      <c r="E22" s="36"/>
      <c r="F22" s="36"/>
      <c r="G22" s="34"/>
      <c r="H22" s="34"/>
      <c r="I22" s="26"/>
      <c r="J22" s="34"/>
      <c r="K22" s="1"/>
      <c r="L22" s="1"/>
      <c r="M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35"/>
      <c r="B23" s="28">
        <v>9.0</v>
      </c>
      <c r="C23" s="33" t="s">
        <v>39</v>
      </c>
      <c r="D23" s="30">
        <v>25000.0</v>
      </c>
      <c r="E23" s="31"/>
      <c r="F23" s="31">
        <v>40466.926070038906</v>
      </c>
      <c r="G23" s="31">
        <v>18500.0</v>
      </c>
      <c r="H23" s="31">
        <f>sum(D23:G23)</f>
        <v>83966.92607</v>
      </c>
      <c r="I23" s="27"/>
      <c r="J23" s="32" t="s">
        <v>40</v>
      </c>
      <c r="K23" s="1"/>
      <c r="L23" s="1"/>
      <c r="M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28">
        <v>10.0</v>
      </c>
      <c r="C24" s="29" t="s">
        <v>41</v>
      </c>
      <c r="D24" s="36"/>
      <c r="E24" s="36"/>
      <c r="F24" s="36"/>
      <c r="G24" s="34"/>
      <c r="H24" s="34"/>
      <c r="I24" s="26"/>
      <c r="J24" s="34"/>
      <c r="K24" s="1"/>
      <c r="L24" s="1"/>
      <c r="M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28">
        <v>11.0</v>
      </c>
      <c r="C25" s="29" t="s">
        <v>42</v>
      </c>
      <c r="D25" s="36"/>
      <c r="E25" s="36"/>
      <c r="F25" s="36"/>
      <c r="G25" s="34"/>
      <c r="H25" s="34"/>
      <c r="I25" s="26"/>
      <c r="J25" s="34"/>
      <c r="K25" s="1"/>
      <c r="L25" s="1"/>
      <c r="M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28">
        <v>12.0</v>
      </c>
      <c r="C26" s="33" t="s">
        <v>43</v>
      </c>
      <c r="D26" s="30">
        <v>20000.0</v>
      </c>
      <c r="E26" s="31"/>
      <c r="F26" s="31">
        <v>45914.39688715953</v>
      </c>
      <c r="G26" s="31">
        <v>17100.0</v>
      </c>
      <c r="H26" s="31">
        <f t="shared" ref="H26:H46" si="6">sum(D26:G26)</f>
        <v>83014.39689</v>
      </c>
      <c r="I26" s="27"/>
      <c r="J26" s="32" t="s">
        <v>44</v>
      </c>
      <c r="K26" s="1"/>
      <c r="L26" s="1"/>
      <c r="M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28">
        <v>13.0</v>
      </c>
      <c r="C27" s="28" t="s">
        <v>45</v>
      </c>
      <c r="D27" s="30">
        <v>20000.0</v>
      </c>
      <c r="E27" s="31"/>
      <c r="F27" s="31">
        <v>48249.02723735408</v>
      </c>
      <c r="G27" s="31">
        <v>13700.0</v>
      </c>
      <c r="H27" s="31">
        <f t="shared" si="6"/>
        <v>81949.02724</v>
      </c>
      <c r="I27" s="27"/>
      <c r="J27" s="32" t="s">
        <v>46</v>
      </c>
      <c r="K27" s="1"/>
      <c r="L27" s="1"/>
      <c r="M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28">
        <v>14.0</v>
      </c>
      <c r="C28" s="37" t="s">
        <v>47</v>
      </c>
      <c r="D28" s="30">
        <v>20000.0</v>
      </c>
      <c r="E28" s="31"/>
      <c r="F28" s="31">
        <v>40466.926070038906</v>
      </c>
      <c r="G28" s="31">
        <v>15000.0</v>
      </c>
      <c r="H28" s="31">
        <f t="shared" si="6"/>
        <v>75466.92607</v>
      </c>
      <c r="I28" s="27"/>
      <c r="J28" s="32" t="s">
        <v>48</v>
      </c>
      <c r="K28" s="1"/>
      <c r="L28" s="1"/>
      <c r="M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28">
        <v>15.0</v>
      </c>
      <c r="C29" s="33" t="s">
        <v>49</v>
      </c>
      <c r="D29" s="30">
        <v>20000.0</v>
      </c>
      <c r="E29" s="31"/>
      <c r="F29" s="31">
        <v>55252.91828793775</v>
      </c>
      <c r="G29" s="31">
        <v>13700.0</v>
      </c>
      <c r="H29" s="31">
        <f t="shared" si="6"/>
        <v>88952.91829</v>
      </c>
      <c r="I29" s="27"/>
      <c r="J29" s="32" t="s">
        <v>50</v>
      </c>
      <c r="K29" s="1"/>
      <c r="L29" s="1"/>
      <c r="M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38">
        <v>16.0</v>
      </c>
      <c r="C30" s="39" t="s">
        <v>51</v>
      </c>
      <c r="D30" s="40">
        <v>0.0</v>
      </c>
      <c r="E30" s="31"/>
      <c r="F30" s="31">
        <v>45914.39688715953</v>
      </c>
      <c r="G30" s="31">
        <v>28700.0</v>
      </c>
      <c r="H30" s="31">
        <f t="shared" si="6"/>
        <v>74614.39689</v>
      </c>
      <c r="I30" s="27"/>
      <c r="J30" s="32" t="s">
        <v>52</v>
      </c>
      <c r="K30" s="1"/>
      <c r="L30" s="1"/>
      <c r="M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38">
        <v>17.0</v>
      </c>
      <c r="C31" s="39" t="s">
        <v>53</v>
      </c>
      <c r="D31" s="40">
        <v>0.0</v>
      </c>
      <c r="E31" s="31"/>
      <c r="F31" s="31">
        <v>45914.39688715953</v>
      </c>
      <c r="G31" s="31">
        <v>15000.0</v>
      </c>
      <c r="H31" s="31">
        <f t="shared" si="6"/>
        <v>60914.39689</v>
      </c>
      <c r="I31" s="27"/>
      <c r="J31" s="32" t="s">
        <v>54</v>
      </c>
      <c r="K31" s="1"/>
      <c r="L31" s="1"/>
      <c r="M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28">
        <v>18.0</v>
      </c>
      <c r="C32" s="41" t="s">
        <v>55</v>
      </c>
      <c r="D32" s="40">
        <v>0.0</v>
      </c>
      <c r="E32" s="31"/>
      <c r="F32" s="31">
        <v>36575.87548638132</v>
      </c>
      <c r="G32" s="31">
        <v>15000.0</v>
      </c>
      <c r="H32" s="31">
        <f t="shared" si="6"/>
        <v>51575.87549</v>
      </c>
      <c r="I32" s="27"/>
      <c r="J32" s="32" t="s">
        <v>56</v>
      </c>
      <c r="K32" s="1"/>
      <c r="L32" s="1"/>
      <c r="M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28">
        <v>19.0</v>
      </c>
      <c r="C33" s="41" t="s">
        <v>57</v>
      </c>
      <c r="D33" s="40">
        <v>0.0</v>
      </c>
      <c r="E33" s="31"/>
      <c r="F33" s="31">
        <v>41245.13618677043</v>
      </c>
      <c r="G33" s="31">
        <v>11300.0</v>
      </c>
      <c r="H33" s="31">
        <f t="shared" si="6"/>
        <v>52545.13619</v>
      </c>
      <c r="I33" s="27"/>
      <c r="J33" s="32" t="s">
        <v>58</v>
      </c>
      <c r="K33" s="1"/>
      <c r="L33" s="1"/>
      <c r="M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28">
        <v>20.0</v>
      </c>
      <c r="C34" s="41" t="s">
        <v>59</v>
      </c>
      <c r="D34" s="40">
        <v>0.0</v>
      </c>
      <c r="E34" s="31"/>
      <c r="F34" s="31">
        <v>40466.926070038906</v>
      </c>
      <c r="G34" s="31">
        <v>8200.0</v>
      </c>
      <c r="H34" s="31">
        <f t="shared" si="6"/>
        <v>48666.92607</v>
      </c>
      <c r="I34" s="27"/>
      <c r="J34" s="32" t="s">
        <v>60</v>
      </c>
      <c r="K34" s="1"/>
      <c r="L34" s="1"/>
      <c r="M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28">
        <v>21.0</v>
      </c>
      <c r="C35" s="42" t="s">
        <v>61</v>
      </c>
      <c r="D35" s="40">
        <v>0.0</v>
      </c>
      <c r="E35" s="31"/>
      <c r="F35" s="31">
        <v>29571.984435797665</v>
      </c>
      <c r="G35" s="31">
        <v>7300.0</v>
      </c>
      <c r="H35" s="31">
        <f t="shared" si="6"/>
        <v>36871.98444</v>
      </c>
      <c r="I35" s="27"/>
      <c r="J35" s="32" t="s">
        <v>62</v>
      </c>
      <c r="K35" s="1"/>
      <c r="L35" s="1"/>
      <c r="M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38">
        <v>22.0</v>
      </c>
      <c r="C36" s="42" t="s">
        <v>63</v>
      </c>
      <c r="D36" s="40">
        <v>0.0</v>
      </c>
      <c r="E36" s="31"/>
      <c r="F36" s="31">
        <v>41245.13618677043</v>
      </c>
      <c r="G36" s="31">
        <v>23300.0</v>
      </c>
      <c r="H36" s="31">
        <f t="shared" si="6"/>
        <v>64545.13619</v>
      </c>
      <c r="I36" s="27"/>
      <c r="J36" s="27" t="s">
        <v>64</v>
      </c>
      <c r="K36" s="1"/>
      <c r="L36" s="1"/>
      <c r="M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38">
        <v>23.0</v>
      </c>
      <c r="C37" s="39" t="s">
        <v>65</v>
      </c>
      <c r="D37" s="40">
        <v>0.0</v>
      </c>
      <c r="E37" s="31"/>
      <c r="F37" s="31">
        <v>45914.39688715953</v>
      </c>
      <c r="G37" s="31">
        <v>2300.0</v>
      </c>
      <c r="H37" s="31">
        <f t="shared" si="6"/>
        <v>48214.39689</v>
      </c>
      <c r="I37" s="27"/>
      <c r="J37" s="32" t="s">
        <v>66</v>
      </c>
      <c r="K37" s="1"/>
      <c r="L37" s="1"/>
      <c r="M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28">
        <v>24.0</v>
      </c>
      <c r="C38" s="39" t="s">
        <v>67</v>
      </c>
      <c r="D38" s="40">
        <v>0.0</v>
      </c>
      <c r="E38" s="31"/>
      <c r="F38" s="31">
        <v>63035.01945525292</v>
      </c>
      <c r="G38" s="31">
        <v>18500.0</v>
      </c>
      <c r="H38" s="31">
        <f t="shared" si="6"/>
        <v>81535.01946</v>
      </c>
      <c r="I38" s="27"/>
      <c r="J38" s="32" t="s">
        <v>68</v>
      </c>
      <c r="K38" s="1"/>
      <c r="L38" s="1"/>
      <c r="M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28">
        <v>25.0</v>
      </c>
      <c r="C39" s="39" t="s">
        <v>69</v>
      </c>
      <c r="D39" s="40">
        <v>0.0</v>
      </c>
      <c r="E39" s="31"/>
      <c r="F39" s="31">
        <v>36575.87548638132</v>
      </c>
      <c r="G39" s="31">
        <v>11900.0</v>
      </c>
      <c r="H39" s="31">
        <f t="shared" si="6"/>
        <v>48475.87549</v>
      </c>
      <c r="I39" s="27"/>
      <c r="J39" s="32" t="s">
        <v>70</v>
      </c>
      <c r="K39" s="1"/>
      <c r="L39" s="1"/>
      <c r="M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28">
        <v>26.0</v>
      </c>
      <c r="C40" s="39" t="s">
        <v>71</v>
      </c>
      <c r="D40" s="40">
        <v>0.0</v>
      </c>
      <c r="E40" s="31"/>
      <c r="F40" s="31">
        <v>56809.33852140079</v>
      </c>
      <c r="G40" s="31">
        <v>11900.0</v>
      </c>
      <c r="H40" s="31">
        <f t="shared" si="6"/>
        <v>68709.33852</v>
      </c>
      <c r="I40" s="27"/>
      <c r="J40" s="32" t="s">
        <v>72</v>
      </c>
      <c r="K40" s="1"/>
      <c r="L40" s="1"/>
      <c r="M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28">
        <v>27.0</v>
      </c>
      <c r="C41" s="39" t="s">
        <v>73</v>
      </c>
      <c r="D41" s="40">
        <v>0.0</v>
      </c>
      <c r="E41" s="31"/>
      <c r="F41" s="31">
        <v>43579.766536964984</v>
      </c>
      <c r="G41" s="31">
        <v>11900.0</v>
      </c>
      <c r="H41" s="31">
        <f t="shared" si="6"/>
        <v>55479.76654</v>
      </c>
      <c r="I41" s="27"/>
      <c r="J41" s="32" t="s">
        <v>74</v>
      </c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38">
        <v>28.0</v>
      </c>
      <c r="C42" s="39" t="s">
        <v>75</v>
      </c>
      <c r="D42" s="40">
        <v>0.0</v>
      </c>
      <c r="E42" s="31"/>
      <c r="F42" s="43">
        <v>0.0</v>
      </c>
      <c r="G42" s="31">
        <v>35900.0</v>
      </c>
      <c r="H42" s="31">
        <f t="shared" si="6"/>
        <v>35900</v>
      </c>
      <c r="I42" s="27"/>
      <c r="J42" s="32" t="s">
        <v>76</v>
      </c>
      <c r="K42" s="1"/>
      <c r="L42" s="1"/>
      <c r="M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28">
        <v>29.0</v>
      </c>
      <c r="C43" s="39" t="s">
        <v>77</v>
      </c>
      <c r="D43" s="40">
        <v>0.0</v>
      </c>
      <c r="E43" s="31"/>
      <c r="F43" s="43">
        <v>0.0</v>
      </c>
      <c r="G43" s="31">
        <v>15000.0</v>
      </c>
      <c r="H43" s="31">
        <f t="shared" si="6"/>
        <v>15000</v>
      </c>
      <c r="I43" s="27"/>
      <c r="J43" s="32" t="s">
        <v>78</v>
      </c>
      <c r="K43" s="1"/>
      <c r="L43" s="1"/>
      <c r="M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28">
        <v>30.0</v>
      </c>
      <c r="C44" s="39" t="s">
        <v>79</v>
      </c>
      <c r="D44" s="40">
        <v>0.0</v>
      </c>
      <c r="E44" s="31"/>
      <c r="F44" s="43">
        <v>0.0</v>
      </c>
      <c r="G44" s="31">
        <v>20100.0</v>
      </c>
      <c r="H44" s="31">
        <f t="shared" si="6"/>
        <v>20100</v>
      </c>
      <c r="I44" s="27"/>
      <c r="J44" s="32" t="s">
        <v>80</v>
      </c>
      <c r="K44" s="1"/>
      <c r="L44" s="1"/>
      <c r="M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28">
        <v>31.0</v>
      </c>
      <c r="C45" s="39" t="s">
        <v>81</v>
      </c>
      <c r="D45" s="40">
        <v>0.0</v>
      </c>
      <c r="E45" s="31"/>
      <c r="F45" s="43">
        <v>0.0</v>
      </c>
      <c r="G45" s="31">
        <v>28700.0</v>
      </c>
      <c r="H45" s="31">
        <f t="shared" si="6"/>
        <v>28700</v>
      </c>
      <c r="I45" s="27"/>
      <c r="J45" s="32" t="s">
        <v>82</v>
      </c>
      <c r="K45" s="1"/>
      <c r="L45" s="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28">
        <v>32.0</v>
      </c>
      <c r="C46" s="39" t="s">
        <v>83</v>
      </c>
      <c r="D46" s="40">
        <v>0.0</v>
      </c>
      <c r="E46" s="31"/>
      <c r="F46" s="43">
        <v>0.0</v>
      </c>
      <c r="G46" s="31">
        <v>10200.0</v>
      </c>
      <c r="H46" s="31">
        <f t="shared" si="6"/>
        <v>10200</v>
      </c>
      <c r="I46" s="27"/>
      <c r="J46" s="32" t="s">
        <v>84</v>
      </c>
      <c r="K46" s="1"/>
      <c r="L46" s="1"/>
      <c r="M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0.38"/>
    <col customWidth="1" min="6" max="6" width="16.25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4"/>
      <c r="B5" s="45"/>
      <c r="C5" s="46" t="s">
        <v>85</v>
      </c>
      <c r="D5" s="46" t="s">
        <v>86</v>
      </c>
      <c r="E5" s="46" t="s">
        <v>87</v>
      </c>
      <c r="F5" s="46" t="s">
        <v>88</v>
      </c>
      <c r="G5" s="46" t="s">
        <v>89</v>
      </c>
      <c r="H5" s="46" t="s">
        <v>90</v>
      </c>
      <c r="I5" s="46" t="s">
        <v>91</v>
      </c>
      <c r="J5" s="45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47" t="s">
        <v>92</v>
      </c>
      <c r="C6" s="47" t="s">
        <v>93</v>
      </c>
      <c r="D6" s="48">
        <v>4.0</v>
      </c>
      <c r="E6" s="48">
        <v>4.0</v>
      </c>
      <c r="F6" s="48">
        <v>5.0</v>
      </c>
      <c r="G6" s="48">
        <v>4.25</v>
      </c>
      <c r="H6" s="47" t="s">
        <v>94</v>
      </c>
      <c r="I6" s="47" t="s">
        <v>92</v>
      </c>
      <c r="J6" s="45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49">
        <v>1.0</v>
      </c>
      <c r="C7" s="50" t="s">
        <v>95</v>
      </c>
      <c r="D7" s="51"/>
      <c r="E7" s="52">
        <v>3.0</v>
      </c>
      <c r="F7" s="52">
        <v>0.0</v>
      </c>
      <c r="G7" s="49">
        <v>2.4</v>
      </c>
      <c r="H7" s="46" t="s">
        <v>96</v>
      </c>
      <c r="I7" s="45"/>
      <c r="J7" s="53">
        <v>43476.0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49">
        <v>2.0</v>
      </c>
      <c r="C8" s="50" t="s">
        <v>97</v>
      </c>
      <c r="D8" s="52"/>
      <c r="E8" s="52">
        <v>3.0</v>
      </c>
      <c r="F8" s="52">
        <v>0.0</v>
      </c>
      <c r="G8" s="49">
        <v>3.3</v>
      </c>
      <c r="H8" s="46" t="s">
        <v>96</v>
      </c>
      <c r="I8" s="45"/>
      <c r="J8" s="49" t="s">
        <v>98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49">
        <v>3.0</v>
      </c>
      <c r="C9" s="50" t="s">
        <v>99</v>
      </c>
      <c r="D9" s="52"/>
      <c r="E9" s="52">
        <v>3.0</v>
      </c>
      <c r="F9" s="52">
        <v>3.0</v>
      </c>
      <c r="G9" s="49">
        <v>3.15</v>
      </c>
      <c r="H9" s="46" t="s">
        <v>96</v>
      </c>
      <c r="I9" s="45"/>
      <c r="J9" s="49" t="s">
        <v>100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49">
        <v>4.0</v>
      </c>
      <c r="C10" s="54" t="s">
        <v>101</v>
      </c>
      <c r="D10" s="52"/>
      <c r="E10" s="52">
        <v>3.0</v>
      </c>
      <c r="F10" s="52">
        <v>0.0</v>
      </c>
      <c r="G10" s="49">
        <v>2.7</v>
      </c>
      <c r="H10" s="46" t="s">
        <v>96</v>
      </c>
      <c r="I10" s="45"/>
      <c r="J10" s="49" t="s">
        <v>102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49">
        <v>5.0</v>
      </c>
      <c r="C11" s="54" t="s">
        <v>103</v>
      </c>
      <c r="D11" s="52"/>
      <c r="E11" s="52">
        <v>3.0</v>
      </c>
      <c r="F11" s="52">
        <v>3.0</v>
      </c>
      <c r="G11" s="49">
        <v>3.75</v>
      </c>
      <c r="H11" s="46" t="s">
        <v>96</v>
      </c>
      <c r="I11" s="45"/>
      <c r="J11" s="53">
        <v>42038.0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4" max="4" width="26.25"/>
    <col customWidth="1" min="5" max="6" width="16.13"/>
    <col customWidth="1" min="7" max="8" width="9.88"/>
    <col customWidth="1" min="9" max="9" width="29.0"/>
    <col customWidth="1" min="15" max="15" width="21.75"/>
  </cols>
  <sheetData>
    <row r="1">
      <c r="E1" s="55"/>
      <c r="F1" s="55" t="s">
        <v>104</v>
      </c>
      <c r="N1" s="20"/>
    </row>
    <row r="2">
      <c r="N2" s="20"/>
    </row>
    <row r="3">
      <c r="C3" s="55" t="s">
        <v>105</v>
      </c>
      <c r="D3" s="56" t="s">
        <v>86</v>
      </c>
      <c r="E3" s="57"/>
      <c r="F3" s="57">
        <v>0.15</v>
      </c>
      <c r="N3" s="58"/>
    </row>
    <row r="4">
      <c r="C4" s="55" t="s">
        <v>106</v>
      </c>
      <c r="D4" s="56" t="s">
        <v>87</v>
      </c>
      <c r="E4" s="57"/>
      <c r="F4" s="57">
        <v>0.6</v>
      </c>
      <c r="N4" s="58"/>
    </row>
    <row r="5">
      <c r="C5" s="55" t="s">
        <v>107</v>
      </c>
      <c r="D5" s="56" t="s">
        <v>88</v>
      </c>
      <c r="E5" s="57"/>
      <c r="F5" s="57">
        <v>0.25</v>
      </c>
      <c r="N5" s="58" t="s">
        <v>108</v>
      </c>
      <c r="P5" s="59">
        <v>6000000.0</v>
      </c>
    </row>
    <row r="6">
      <c r="N6" s="58"/>
    </row>
    <row r="7">
      <c r="D7" s="60">
        <f>SUM(D11:D22)</f>
        <v>401000</v>
      </c>
      <c r="E7" s="20">
        <f>D7/D8</f>
        <v>0.01336666667</v>
      </c>
      <c r="G7" s="55"/>
      <c r="H7" s="55" t="s">
        <v>109</v>
      </c>
      <c r="I7" s="61">
        <v>45413.0</v>
      </c>
      <c r="N7" s="58"/>
      <c r="S7" s="59"/>
    </row>
    <row r="8">
      <c r="D8" s="55">
        <v>3.0E7</v>
      </c>
      <c r="E8" s="20">
        <f>D7/P5</f>
        <v>0.06683333333</v>
      </c>
      <c r="I8" s="55" t="s">
        <v>110</v>
      </c>
      <c r="J8" s="55" t="s">
        <v>111</v>
      </c>
      <c r="M8" s="55" t="s">
        <v>23</v>
      </c>
      <c r="N8" s="20"/>
      <c r="O8" s="55" t="s">
        <v>112</v>
      </c>
    </row>
    <row r="9">
      <c r="E9" s="55"/>
      <c r="F9" s="55"/>
      <c r="G9" s="55"/>
      <c r="H9" s="55"/>
      <c r="I9" s="55" t="s">
        <v>104</v>
      </c>
      <c r="J9" s="62">
        <v>0.15</v>
      </c>
      <c r="K9" s="62">
        <v>0.6</v>
      </c>
      <c r="L9" s="62">
        <v>0.25</v>
      </c>
      <c r="M9" s="63">
        <f>sum(M11:M34)</f>
        <v>77.1</v>
      </c>
      <c r="N9" s="20"/>
      <c r="O9" s="59">
        <v>1200000.0</v>
      </c>
    </row>
    <row r="10">
      <c r="A10" s="24"/>
      <c r="B10" s="64" t="s">
        <v>21</v>
      </c>
      <c r="C10" s="64" t="s">
        <v>22</v>
      </c>
      <c r="D10" s="65" t="s">
        <v>113</v>
      </c>
      <c r="E10" s="21" t="s">
        <v>114</v>
      </c>
      <c r="F10" s="21" t="s">
        <v>115</v>
      </c>
      <c r="G10" s="21" t="s">
        <v>116</v>
      </c>
      <c r="H10" s="21" t="s">
        <v>117</v>
      </c>
      <c r="I10" s="21" t="s">
        <v>118</v>
      </c>
      <c r="J10" s="21" t="s">
        <v>105</v>
      </c>
      <c r="K10" s="21" t="s">
        <v>106</v>
      </c>
      <c r="L10" s="21" t="s">
        <v>107</v>
      </c>
      <c r="M10" s="21" t="s">
        <v>119</v>
      </c>
      <c r="N10" s="66" t="s">
        <v>120</v>
      </c>
      <c r="O10" s="21" t="s">
        <v>121</v>
      </c>
    </row>
    <row r="11">
      <c r="A11" s="32" t="s">
        <v>122</v>
      </c>
      <c r="B11" s="67">
        <v>1.0</v>
      </c>
      <c r="C11" s="68" t="s">
        <v>25</v>
      </c>
      <c r="D11" s="69">
        <v>60000.0</v>
      </c>
      <c r="E11" s="70">
        <v>5.0</v>
      </c>
      <c r="F11" s="71" t="s">
        <v>123</v>
      </c>
      <c r="G11" s="72">
        <v>42058.0</v>
      </c>
      <c r="H11" s="73">
        <v>42058.0</v>
      </c>
      <c r="I11" s="74">
        <f t="shared" ref="I11:I34" si="1">days(G11,$I$7)/-365</f>
        <v>9.191780822</v>
      </c>
      <c r="J11" s="71">
        <f>vlookup(I11,'Table for Factors'!$C$30:$D$35,2,true)</f>
        <v>4</v>
      </c>
      <c r="K11" s="71">
        <f>vlookup(E11,'Table for Factors'!$C$38:$D$43,2,false)</f>
        <v>5</v>
      </c>
      <c r="L11" s="70">
        <v>4.0</v>
      </c>
      <c r="M11" s="24">
        <f t="shared" ref="M11:M34" si="2">SUMPRODUCT(J11:L11,$J$9:$L$9)</f>
        <v>4.6</v>
      </c>
      <c r="N11" s="75">
        <f t="shared" ref="N11:N34" si="3">M11/$M$9</f>
        <v>0.05966277562</v>
      </c>
      <c r="O11" s="76">
        <f t="shared" ref="O11:O34" si="4">N11*$O$9</f>
        <v>71595.33074</v>
      </c>
      <c r="R11" s="20"/>
      <c r="S11" s="60"/>
    </row>
    <row r="12">
      <c r="A12" s="32" t="s">
        <v>124</v>
      </c>
      <c r="B12" s="67">
        <v>2.0</v>
      </c>
      <c r="C12" s="68" t="s">
        <v>27</v>
      </c>
      <c r="D12" s="69">
        <v>60000.0</v>
      </c>
      <c r="E12" s="70">
        <v>5.0</v>
      </c>
      <c r="F12" s="71" t="s">
        <v>125</v>
      </c>
      <c r="G12" s="72">
        <v>42060.0</v>
      </c>
      <c r="H12" s="73">
        <v>42060.0</v>
      </c>
      <c r="I12" s="74">
        <f t="shared" si="1"/>
        <v>9.18630137</v>
      </c>
      <c r="J12" s="71">
        <f>vlookup(I12,'Table for Factors'!$C$30:$D$35,2,true)</f>
        <v>4</v>
      </c>
      <c r="K12" s="71">
        <f>vlookup(E12,'Table for Factors'!$C$38:$D$43,2,false)</f>
        <v>5</v>
      </c>
      <c r="L12" s="70">
        <v>4.0</v>
      </c>
      <c r="M12" s="24">
        <f t="shared" si="2"/>
        <v>4.6</v>
      </c>
      <c r="N12" s="75">
        <f t="shared" si="3"/>
        <v>0.05966277562</v>
      </c>
      <c r="O12" s="76">
        <f t="shared" si="4"/>
        <v>71595.33074</v>
      </c>
      <c r="R12" s="20"/>
      <c r="S12" s="60"/>
    </row>
    <row r="13">
      <c r="A13" s="32" t="s">
        <v>126</v>
      </c>
      <c r="B13" s="67">
        <v>3.0</v>
      </c>
      <c r="C13" s="68" t="s">
        <v>29</v>
      </c>
      <c r="D13" s="69">
        <v>35000.0</v>
      </c>
      <c r="E13" s="70">
        <v>5.0</v>
      </c>
      <c r="F13" s="71" t="s">
        <v>123</v>
      </c>
      <c r="G13" s="72">
        <v>43283.0</v>
      </c>
      <c r="H13" s="73">
        <v>43283.0</v>
      </c>
      <c r="I13" s="74">
        <f t="shared" si="1"/>
        <v>5.835616438</v>
      </c>
      <c r="J13" s="71">
        <f>vlookup(I13,'Table for Factors'!$C$30:$D$35,2,true)</f>
        <v>2</v>
      </c>
      <c r="K13" s="71">
        <f>vlookup(E13,'Table for Factors'!$C$38:$D$43,2,false)</f>
        <v>5</v>
      </c>
      <c r="L13" s="70">
        <v>4.0</v>
      </c>
      <c r="M13" s="24">
        <f t="shared" si="2"/>
        <v>4.3</v>
      </c>
      <c r="N13" s="75">
        <f t="shared" si="3"/>
        <v>0.05577172503</v>
      </c>
      <c r="O13" s="76">
        <f t="shared" si="4"/>
        <v>66926.07004</v>
      </c>
      <c r="R13" s="20"/>
      <c r="S13" s="60"/>
    </row>
    <row r="14">
      <c r="A14" s="32" t="s">
        <v>126</v>
      </c>
      <c r="B14" s="67">
        <v>4.0</v>
      </c>
      <c r="C14" s="68" t="s">
        <v>127</v>
      </c>
      <c r="D14" s="69">
        <v>40000.0</v>
      </c>
      <c r="E14" s="70">
        <v>5.0</v>
      </c>
      <c r="F14" s="71" t="s">
        <v>123</v>
      </c>
      <c r="G14" s="72">
        <v>42681.0</v>
      </c>
      <c r="H14" s="73">
        <v>42681.0</v>
      </c>
      <c r="I14" s="74">
        <f t="shared" si="1"/>
        <v>7.484931507</v>
      </c>
      <c r="J14" s="71">
        <f>vlookup(I14,'Table for Factors'!$C$30:$D$35,2,true)</f>
        <v>3</v>
      </c>
      <c r="K14" s="71">
        <f>vlookup(E14,'Table for Factors'!$C$38:$D$43,2,false)</f>
        <v>5</v>
      </c>
      <c r="L14" s="70">
        <v>4.0</v>
      </c>
      <c r="M14" s="24">
        <f t="shared" si="2"/>
        <v>4.45</v>
      </c>
      <c r="N14" s="75">
        <f t="shared" si="3"/>
        <v>0.05771725032</v>
      </c>
      <c r="O14" s="76">
        <f t="shared" si="4"/>
        <v>69260.70039</v>
      </c>
      <c r="R14" s="20"/>
      <c r="S14" s="60"/>
    </row>
    <row r="15">
      <c r="A15" s="32" t="s">
        <v>128</v>
      </c>
      <c r="B15" s="67">
        <v>5.0</v>
      </c>
      <c r="C15" s="68" t="s">
        <v>33</v>
      </c>
      <c r="D15" s="69">
        <v>35000.0</v>
      </c>
      <c r="E15" s="70">
        <v>4.5</v>
      </c>
      <c r="F15" s="71" t="s">
        <v>129</v>
      </c>
      <c r="G15" s="72">
        <v>42961.0</v>
      </c>
      <c r="H15" s="73">
        <v>42961.0</v>
      </c>
      <c r="I15" s="74">
        <f t="shared" si="1"/>
        <v>6.717808219</v>
      </c>
      <c r="J15" s="71">
        <f>vlookup(I15,'Table for Factors'!$C$30:$D$35,2,true)</f>
        <v>2</v>
      </c>
      <c r="K15" s="71">
        <f>vlookup(E15,'Table for Factors'!$C$38:$D$43,2,false)</f>
        <v>3</v>
      </c>
      <c r="L15" s="70">
        <v>3.0</v>
      </c>
      <c r="M15" s="24">
        <f t="shared" si="2"/>
        <v>2.85</v>
      </c>
      <c r="N15" s="75">
        <f t="shared" si="3"/>
        <v>0.03696498054</v>
      </c>
      <c r="O15" s="76">
        <f t="shared" si="4"/>
        <v>44357.97665</v>
      </c>
      <c r="R15" s="20"/>
      <c r="S15" s="60"/>
    </row>
    <row r="16">
      <c r="A16" s="32" t="s">
        <v>126</v>
      </c>
      <c r="B16" s="67">
        <v>6.0</v>
      </c>
      <c r="C16" s="68" t="s">
        <v>130</v>
      </c>
      <c r="D16" s="69">
        <v>40000.0</v>
      </c>
      <c r="E16" s="70">
        <v>5.0</v>
      </c>
      <c r="F16" s="71" t="s">
        <v>123</v>
      </c>
      <c r="G16" s="72">
        <v>42979.0</v>
      </c>
      <c r="H16" s="73">
        <v>42979.0</v>
      </c>
      <c r="I16" s="74">
        <f t="shared" si="1"/>
        <v>6.668493151</v>
      </c>
      <c r="J16" s="71">
        <f>vlookup(I16,'Table for Factors'!$C$30:$D$35,2,true)</f>
        <v>2</v>
      </c>
      <c r="K16" s="71">
        <f>vlookup(E16,'Table for Factors'!$C$38:$D$43,2,false)</f>
        <v>5</v>
      </c>
      <c r="L16" s="70">
        <v>4.0</v>
      </c>
      <c r="M16" s="24">
        <f t="shared" si="2"/>
        <v>4.3</v>
      </c>
      <c r="N16" s="75">
        <f t="shared" si="3"/>
        <v>0.05577172503</v>
      </c>
      <c r="O16" s="76">
        <f t="shared" si="4"/>
        <v>66926.07004</v>
      </c>
      <c r="R16" s="20"/>
      <c r="S16" s="60"/>
    </row>
    <row r="17">
      <c r="A17" s="32" t="s">
        <v>128</v>
      </c>
      <c r="B17" s="67">
        <v>7.0</v>
      </c>
      <c r="C17" s="68" t="s">
        <v>36</v>
      </c>
      <c r="D17" s="69">
        <v>26000.0</v>
      </c>
      <c r="E17" s="70">
        <v>4.75</v>
      </c>
      <c r="F17" s="71" t="s">
        <v>131</v>
      </c>
      <c r="G17" s="72">
        <v>42626.0</v>
      </c>
      <c r="H17" s="73">
        <v>42626.0</v>
      </c>
      <c r="I17" s="74">
        <f t="shared" si="1"/>
        <v>7.635616438</v>
      </c>
      <c r="J17" s="71">
        <f>vlookup(I17,'Table for Factors'!$C$30:$D$35,2,true)</f>
        <v>3</v>
      </c>
      <c r="K17" s="71">
        <f>vlookup(E17,'Table for Factors'!$C$38:$D$43,2,false)</f>
        <v>4</v>
      </c>
      <c r="L17" s="70">
        <v>2.0</v>
      </c>
      <c r="M17" s="24">
        <f t="shared" si="2"/>
        <v>3.35</v>
      </c>
      <c r="N17" s="75">
        <f t="shared" si="3"/>
        <v>0.04345006485</v>
      </c>
      <c r="O17" s="76">
        <f t="shared" si="4"/>
        <v>52140.07782</v>
      </c>
      <c r="R17" s="20"/>
      <c r="S17" s="60"/>
    </row>
    <row r="18">
      <c r="A18" s="32" t="s">
        <v>126</v>
      </c>
      <c r="B18" s="67">
        <v>8.0</v>
      </c>
      <c r="C18" s="68" t="s">
        <v>132</v>
      </c>
      <c r="D18" s="69">
        <v>25000.0</v>
      </c>
      <c r="E18" s="70">
        <v>4.5</v>
      </c>
      <c r="F18" s="71" t="s">
        <v>129</v>
      </c>
      <c r="G18" s="72">
        <v>43769.0</v>
      </c>
      <c r="H18" s="73">
        <v>43769.0</v>
      </c>
      <c r="I18" s="74">
        <f t="shared" si="1"/>
        <v>4.504109589</v>
      </c>
      <c r="J18" s="71">
        <f>vlookup(I18,'Table for Factors'!$C$30:$D$35,2,true)</f>
        <v>2</v>
      </c>
      <c r="K18" s="71">
        <f>vlookup(E18,'Table for Factors'!$C$38:$D$43,2,false)</f>
        <v>3</v>
      </c>
      <c r="L18" s="70">
        <v>2.0</v>
      </c>
      <c r="M18" s="24">
        <f t="shared" si="2"/>
        <v>2.6</v>
      </c>
      <c r="N18" s="75">
        <f t="shared" si="3"/>
        <v>0.03372243839</v>
      </c>
      <c r="O18" s="76">
        <f t="shared" si="4"/>
        <v>40466.92607</v>
      </c>
      <c r="R18" s="20"/>
      <c r="S18" s="60"/>
    </row>
    <row r="19">
      <c r="A19" s="32" t="s">
        <v>126</v>
      </c>
      <c r="B19" s="67">
        <v>9.0</v>
      </c>
      <c r="C19" s="68" t="s">
        <v>133</v>
      </c>
      <c r="D19" s="69">
        <v>20000.0</v>
      </c>
      <c r="E19" s="70">
        <v>4.75</v>
      </c>
      <c r="F19" s="71" t="s">
        <v>131</v>
      </c>
      <c r="G19" s="72">
        <v>43009.0</v>
      </c>
      <c r="H19" s="73">
        <v>43009.0</v>
      </c>
      <c r="I19" s="74">
        <f t="shared" si="1"/>
        <v>6.58630137</v>
      </c>
      <c r="J19" s="71">
        <f>vlookup(I19,'Table for Factors'!$C$30:$D$35,2,true)</f>
        <v>2</v>
      </c>
      <c r="K19" s="71">
        <f>vlookup(E19,'Table for Factors'!$C$38:$D$43,2,false)</f>
        <v>4</v>
      </c>
      <c r="L19" s="70">
        <v>1.0</v>
      </c>
      <c r="M19" s="24">
        <f t="shared" si="2"/>
        <v>2.95</v>
      </c>
      <c r="N19" s="75">
        <f t="shared" si="3"/>
        <v>0.03826199741</v>
      </c>
      <c r="O19" s="76">
        <f t="shared" si="4"/>
        <v>45914.39689</v>
      </c>
      <c r="R19" s="20"/>
      <c r="S19" s="60"/>
    </row>
    <row r="20">
      <c r="A20" s="32" t="s">
        <v>124</v>
      </c>
      <c r="B20" s="67">
        <v>10.0</v>
      </c>
      <c r="C20" s="77" t="s">
        <v>45</v>
      </c>
      <c r="D20" s="69">
        <v>20000.0</v>
      </c>
      <c r="E20" s="70">
        <v>4.75</v>
      </c>
      <c r="F20" s="71" t="s">
        <v>131</v>
      </c>
      <c r="G20" s="72">
        <v>42499.0</v>
      </c>
      <c r="H20" s="78">
        <v>42499.0</v>
      </c>
      <c r="I20" s="74">
        <f t="shared" si="1"/>
        <v>7.983561644</v>
      </c>
      <c r="J20" s="71">
        <f>vlookup(I20,'Table for Factors'!$C$30:$D$35,2,true)</f>
        <v>3</v>
      </c>
      <c r="K20" s="71">
        <f>vlookup(E20,'Table for Factors'!$C$38:$D$43,2,false)</f>
        <v>4</v>
      </c>
      <c r="L20" s="70">
        <v>1.0</v>
      </c>
      <c r="M20" s="24">
        <f t="shared" si="2"/>
        <v>3.1</v>
      </c>
      <c r="N20" s="75">
        <f t="shared" si="3"/>
        <v>0.0402075227</v>
      </c>
      <c r="O20" s="76">
        <f t="shared" si="4"/>
        <v>48249.02724</v>
      </c>
      <c r="R20" s="20"/>
      <c r="S20" s="60"/>
    </row>
    <row r="21">
      <c r="A21" s="32" t="s">
        <v>134</v>
      </c>
      <c r="B21" s="67">
        <v>11.0</v>
      </c>
      <c r="C21" s="77" t="s">
        <v>135</v>
      </c>
      <c r="D21" s="69">
        <v>20000.0</v>
      </c>
      <c r="E21" s="70">
        <v>4.5</v>
      </c>
      <c r="F21" s="71" t="s">
        <v>129</v>
      </c>
      <c r="G21" s="72">
        <v>43339.0</v>
      </c>
      <c r="H21" s="73">
        <v>43339.0</v>
      </c>
      <c r="I21" s="74">
        <f t="shared" si="1"/>
        <v>5.682191781</v>
      </c>
      <c r="J21" s="71">
        <f>vlookup(I21,'Table for Factors'!$C$30:$D$35,2,true)</f>
        <v>2</v>
      </c>
      <c r="K21" s="71">
        <f>vlookup(E21,'Table for Factors'!$C$38:$D$43,2,false)</f>
        <v>3</v>
      </c>
      <c r="L21" s="70">
        <v>2.0</v>
      </c>
      <c r="M21" s="24">
        <f t="shared" si="2"/>
        <v>2.6</v>
      </c>
      <c r="N21" s="75">
        <f t="shared" si="3"/>
        <v>0.03372243839</v>
      </c>
      <c r="O21" s="76">
        <f t="shared" si="4"/>
        <v>40466.92607</v>
      </c>
      <c r="R21" s="20"/>
      <c r="S21" s="60"/>
    </row>
    <row r="22">
      <c r="A22" s="32" t="s">
        <v>122</v>
      </c>
      <c r="B22" s="67">
        <v>12.0</v>
      </c>
      <c r="C22" s="79" t="s">
        <v>136</v>
      </c>
      <c r="D22" s="69">
        <v>20000.0</v>
      </c>
      <c r="E22" s="70">
        <v>5.0</v>
      </c>
      <c r="F22" s="71" t="s">
        <v>123</v>
      </c>
      <c r="G22" s="72">
        <v>43011.0</v>
      </c>
      <c r="H22" s="73">
        <v>43011.0</v>
      </c>
      <c r="I22" s="74">
        <f t="shared" si="1"/>
        <v>6.580821918</v>
      </c>
      <c r="J22" s="71">
        <f>vlookup(I22,'Table for Factors'!$C$30:$D$35,2,true)</f>
        <v>2</v>
      </c>
      <c r="K22" s="71">
        <f>vlookup(E22,'Table for Factors'!$C$38:$D$43,2,false)</f>
        <v>5</v>
      </c>
      <c r="L22" s="70">
        <v>1.0</v>
      </c>
      <c r="M22" s="24">
        <f t="shared" si="2"/>
        <v>3.55</v>
      </c>
      <c r="N22" s="75">
        <f t="shared" si="3"/>
        <v>0.04604409857</v>
      </c>
      <c r="O22" s="76">
        <f t="shared" si="4"/>
        <v>55252.91829</v>
      </c>
      <c r="R22" s="20"/>
      <c r="S22" s="60"/>
    </row>
    <row r="23">
      <c r="A23" s="32" t="s">
        <v>124</v>
      </c>
      <c r="B23" s="67">
        <v>13.0</v>
      </c>
      <c r="C23" s="71" t="s">
        <v>137</v>
      </c>
      <c r="D23" s="80"/>
      <c r="E23" s="70">
        <v>4.75</v>
      </c>
      <c r="F23" s="71" t="s">
        <v>131</v>
      </c>
      <c r="G23" s="72">
        <v>43556.0</v>
      </c>
      <c r="H23" s="73">
        <v>43556.0</v>
      </c>
      <c r="I23" s="74">
        <f t="shared" si="1"/>
        <v>5.087671233</v>
      </c>
      <c r="J23" s="71">
        <f>vlookup(I23,'Table for Factors'!$C$30:$D$35,2,true)</f>
        <v>2</v>
      </c>
      <c r="K23" s="71">
        <f>vlookup(E23,'Table for Factors'!$C$38:$D$43,2,false)</f>
        <v>4</v>
      </c>
      <c r="L23" s="70">
        <v>1.0</v>
      </c>
      <c r="M23" s="24">
        <f t="shared" si="2"/>
        <v>2.95</v>
      </c>
      <c r="N23" s="75">
        <f t="shared" si="3"/>
        <v>0.03826199741</v>
      </c>
      <c r="O23" s="76">
        <f t="shared" si="4"/>
        <v>45914.39689</v>
      </c>
      <c r="R23" s="20"/>
      <c r="S23" s="60"/>
    </row>
    <row r="24">
      <c r="A24" s="32" t="s">
        <v>124</v>
      </c>
      <c r="B24" s="67">
        <v>14.0</v>
      </c>
      <c r="C24" s="71" t="s">
        <v>138</v>
      </c>
      <c r="D24" s="80"/>
      <c r="E24" s="70">
        <v>4.75</v>
      </c>
      <c r="F24" s="71" t="s">
        <v>131</v>
      </c>
      <c r="G24" s="72">
        <v>43578.0</v>
      </c>
      <c r="H24" s="73">
        <v>43578.0</v>
      </c>
      <c r="I24" s="74">
        <f t="shared" si="1"/>
        <v>5.02739726</v>
      </c>
      <c r="J24" s="71">
        <f>vlookup(I24,'Table for Factors'!$C$30:$D$35,2,true)</f>
        <v>2</v>
      </c>
      <c r="K24" s="71">
        <f>vlookup(E24,'Table for Factors'!$C$38:$D$43,2,false)</f>
        <v>4</v>
      </c>
      <c r="L24" s="70">
        <v>1.0</v>
      </c>
      <c r="M24" s="24">
        <f t="shared" si="2"/>
        <v>2.95</v>
      </c>
      <c r="N24" s="75">
        <f t="shared" si="3"/>
        <v>0.03826199741</v>
      </c>
      <c r="O24" s="76">
        <f t="shared" si="4"/>
        <v>45914.39689</v>
      </c>
      <c r="R24" s="20"/>
      <c r="S24" s="60"/>
    </row>
    <row r="25">
      <c r="A25" s="32" t="s">
        <v>139</v>
      </c>
      <c r="B25" s="67">
        <v>15.0</v>
      </c>
      <c r="C25" s="81" t="s">
        <v>140</v>
      </c>
      <c r="D25" s="80"/>
      <c r="E25" s="70">
        <v>4.5</v>
      </c>
      <c r="F25" s="82"/>
      <c r="G25" s="72">
        <v>43770.0</v>
      </c>
      <c r="H25" s="73">
        <v>43770.0</v>
      </c>
      <c r="I25" s="74">
        <f t="shared" si="1"/>
        <v>4.501369863</v>
      </c>
      <c r="J25" s="71">
        <f>vlookup(I25,'Table for Factors'!$C$30:$D$35,2,true)</f>
        <v>2</v>
      </c>
      <c r="K25" s="71">
        <f>vlookup(E25,'Table for Factors'!$C$38:$D$43,2,false)</f>
        <v>3</v>
      </c>
      <c r="L25" s="70">
        <v>1.0</v>
      </c>
      <c r="M25" s="24">
        <f t="shared" si="2"/>
        <v>2.35</v>
      </c>
      <c r="N25" s="75">
        <f t="shared" si="3"/>
        <v>0.03047989624</v>
      </c>
      <c r="O25" s="76">
        <f t="shared" si="4"/>
        <v>36575.87549</v>
      </c>
      <c r="R25" s="20"/>
      <c r="S25" s="60"/>
    </row>
    <row r="26">
      <c r="A26" s="32" t="s">
        <v>139</v>
      </c>
      <c r="B26" s="67">
        <v>16.0</v>
      </c>
      <c r="C26" s="81" t="s">
        <v>57</v>
      </c>
      <c r="D26" s="80"/>
      <c r="E26" s="70">
        <v>4.5</v>
      </c>
      <c r="F26" s="82"/>
      <c r="G26" s="72">
        <v>41596.0</v>
      </c>
      <c r="H26" s="73">
        <v>41596.0</v>
      </c>
      <c r="I26" s="74">
        <f t="shared" si="1"/>
        <v>10.45753425</v>
      </c>
      <c r="J26" s="71">
        <f>vlookup(I26,'Table for Factors'!$C$30:$D$35,2,true)</f>
        <v>4</v>
      </c>
      <c r="K26" s="71">
        <f>vlookup(E26,'Table for Factors'!$C$38:$D$43,2,false)</f>
        <v>3</v>
      </c>
      <c r="L26" s="70">
        <v>1.0</v>
      </c>
      <c r="M26" s="24">
        <f t="shared" si="2"/>
        <v>2.65</v>
      </c>
      <c r="N26" s="75">
        <f t="shared" si="3"/>
        <v>0.03437094682</v>
      </c>
      <c r="O26" s="76">
        <f t="shared" si="4"/>
        <v>41245.13619</v>
      </c>
      <c r="R26" s="20"/>
      <c r="S26" s="60"/>
    </row>
    <row r="27">
      <c r="A27" s="32" t="s">
        <v>139</v>
      </c>
      <c r="B27" s="67">
        <v>17.0</v>
      </c>
      <c r="C27" s="81" t="s">
        <v>59</v>
      </c>
      <c r="D27" s="80"/>
      <c r="E27" s="70">
        <v>4.5</v>
      </c>
      <c r="F27" s="82"/>
      <c r="G27" s="83">
        <v>43570.0</v>
      </c>
      <c r="H27" s="84">
        <v>43570.0</v>
      </c>
      <c r="I27" s="74">
        <f t="shared" si="1"/>
        <v>5.049315068</v>
      </c>
      <c r="J27" s="71">
        <f>vlookup(I27,'Table for Factors'!$C$30:$D$35,2,true)</f>
        <v>2</v>
      </c>
      <c r="K27" s="71">
        <f>vlookup(E27,'Table for Factors'!$C$38:$D$43,2,false)</f>
        <v>3</v>
      </c>
      <c r="L27" s="70">
        <v>2.0</v>
      </c>
      <c r="M27" s="24">
        <f t="shared" si="2"/>
        <v>2.6</v>
      </c>
      <c r="N27" s="75">
        <f t="shared" si="3"/>
        <v>0.03372243839</v>
      </c>
      <c r="O27" s="76">
        <f t="shared" si="4"/>
        <v>40466.92607</v>
      </c>
      <c r="R27" s="20"/>
      <c r="S27" s="60"/>
    </row>
    <row r="28">
      <c r="A28" s="32" t="s">
        <v>139</v>
      </c>
      <c r="B28" s="67">
        <v>18.0</v>
      </c>
      <c r="C28" s="85" t="s">
        <v>141</v>
      </c>
      <c r="D28" s="80"/>
      <c r="E28" s="70">
        <v>4.0</v>
      </c>
      <c r="F28" s="82"/>
      <c r="G28" s="83">
        <v>42814.0</v>
      </c>
      <c r="H28" s="84">
        <v>42814.0</v>
      </c>
      <c r="I28" s="74">
        <f t="shared" si="1"/>
        <v>7.120547945</v>
      </c>
      <c r="J28" s="71">
        <f>vlookup(I28,'Table for Factors'!$C$30:$D$35,2,true)</f>
        <v>3</v>
      </c>
      <c r="K28" s="71">
        <f>vlookup(E28,'Table for Factors'!$C$38:$D$43,2,false)</f>
        <v>2</v>
      </c>
      <c r="L28" s="70">
        <v>1.0</v>
      </c>
      <c r="M28" s="24">
        <f t="shared" si="2"/>
        <v>1.9</v>
      </c>
      <c r="N28" s="75">
        <f t="shared" si="3"/>
        <v>0.02464332036</v>
      </c>
      <c r="O28" s="76">
        <f t="shared" si="4"/>
        <v>29571.98444</v>
      </c>
      <c r="R28" s="20"/>
      <c r="S28" s="60"/>
    </row>
    <row r="29">
      <c r="A29" s="32" t="s">
        <v>139</v>
      </c>
      <c r="B29" s="67">
        <v>19.0</v>
      </c>
      <c r="C29" s="85" t="s">
        <v>142</v>
      </c>
      <c r="D29" s="80"/>
      <c r="E29" s="70">
        <v>4.5</v>
      </c>
      <c r="F29" s="82"/>
      <c r="G29" s="72">
        <v>42065.0</v>
      </c>
      <c r="H29" s="73">
        <v>42065.0</v>
      </c>
      <c r="I29" s="74">
        <f t="shared" si="1"/>
        <v>9.17260274</v>
      </c>
      <c r="J29" s="71">
        <f>vlookup(I29,'Table for Factors'!$C$30:$D$35,2,true)</f>
        <v>4</v>
      </c>
      <c r="K29" s="71">
        <f>vlookup(E29,'Table for Factors'!$C$38:$D$43,2,false)</f>
        <v>3</v>
      </c>
      <c r="L29" s="70">
        <v>1.0</v>
      </c>
      <c r="M29" s="24">
        <f t="shared" si="2"/>
        <v>2.65</v>
      </c>
      <c r="N29" s="75">
        <f t="shared" si="3"/>
        <v>0.03437094682</v>
      </c>
      <c r="O29" s="76">
        <f t="shared" si="4"/>
        <v>41245.13619</v>
      </c>
      <c r="R29" s="20"/>
      <c r="S29" s="60"/>
    </row>
    <row r="30">
      <c r="A30" s="32" t="s">
        <v>128</v>
      </c>
      <c r="B30" s="67">
        <v>20.0</v>
      </c>
      <c r="C30" s="71" t="s">
        <v>65</v>
      </c>
      <c r="D30" s="80"/>
      <c r="E30" s="70">
        <v>4.75</v>
      </c>
      <c r="F30" s="71" t="s">
        <v>131</v>
      </c>
      <c r="G30" s="86">
        <v>43600.0</v>
      </c>
      <c r="H30" s="78">
        <v>43600.0</v>
      </c>
      <c r="I30" s="74">
        <f t="shared" si="1"/>
        <v>4.967123288</v>
      </c>
      <c r="J30" s="71">
        <f>vlookup(I30,'Table for Factors'!$C$30:$D$35,2,true)</f>
        <v>2</v>
      </c>
      <c r="K30" s="71">
        <f>vlookup(E30,'Table for Factors'!$C$38:$D$43,2,false)</f>
        <v>4</v>
      </c>
      <c r="L30" s="70">
        <v>1.0</v>
      </c>
      <c r="M30" s="24">
        <f t="shared" si="2"/>
        <v>2.95</v>
      </c>
      <c r="N30" s="75">
        <f t="shared" si="3"/>
        <v>0.03826199741</v>
      </c>
      <c r="O30" s="76">
        <f t="shared" si="4"/>
        <v>45914.39689</v>
      </c>
      <c r="R30" s="20"/>
      <c r="S30" s="60"/>
    </row>
    <row r="31">
      <c r="A31" s="32" t="s">
        <v>126</v>
      </c>
      <c r="B31" s="67">
        <v>21.0</v>
      </c>
      <c r="C31" s="71" t="s">
        <v>143</v>
      </c>
      <c r="D31" s="80"/>
      <c r="E31" s="70">
        <v>5.0</v>
      </c>
      <c r="F31" s="71" t="s">
        <v>123</v>
      </c>
      <c r="G31" s="87">
        <v>43717.0</v>
      </c>
      <c r="H31" s="73">
        <v>43717.0</v>
      </c>
      <c r="I31" s="74">
        <f t="shared" si="1"/>
        <v>4.646575342</v>
      </c>
      <c r="J31" s="71">
        <f>vlookup(I31,'Table for Factors'!$C$30:$D$35,2,true)</f>
        <v>2</v>
      </c>
      <c r="K31" s="71">
        <f>vlookup(E31,'Table for Factors'!$C$38:$D$43,2,false)</f>
        <v>5</v>
      </c>
      <c r="L31" s="70">
        <v>3.0</v>
      </c>
      <c r="M31" s="24">
        <f t="shared" si="2"/>
        <v>4.05</v>
      </c>
      <c r="N31" s="75">
        <f t="shared" si="3"/>
        <v>0.05252918288</v>
      </c>
      <c r="O31" s="76">
        <f t="shared" si="4"/>
        <v>63035.01946</v>
      </c>
      <c r="R31" s="20"/>
      <c r="S31" s="60"/>
    </row>
    <row r="32">
      <c r="A32" s="32" t="s">
        <v>126</v>
      </c>
      <c r="B32" s="67">
        <v>22.0</v>
      </c>
      <c r="C32" s="71" t="s">
        <v>144</v>
      </c>
      <c r="D32" s="80"/>
      <c r="E32" s="70">
        <v>4.5</v>
      </c>
      <c r="F32" s="71" t="s">
        <v>129</v>
      </c>
      <c r="G32" s="88">
        <v>43773.0</v>
      </c>
      <c r="H32" s="84">
        <v>43773.0</v>
      </c>
      <c r="I32" s="89">
        <f t="shared" si="1"/>
        <v>4.493150685</v>
      </c>
      <c r="J32" s="71">
        <f>vlookup(I32,'Table for Factors'!$C$30:$D$35,2,true)</f>
        <v>2</v>
      </c>
      <c r="K32" s="71">
        <f>vlookup(E32,'Table for Factors'!$C$38:$D$43,2,false)</f>
        <v>3</v>
      </c>
      <c r="L32" s="70">
        <v>1.0</v>
      </c>
      <c r="M32" s="24">
        <f t="shared" si="2"/>
        <v>2.35</v>
      </c>
      <c r="N32" s="75">
        <f t="shared" si="3"/>
        <v>0.03047989624</v>
      </c>
      <c r="O32" s="76">
        <f t="shared" si="4"/>
        <v>36575.87549</v>
      </c>
      <c r="R32" s="20"/>
      <c r="S32" s="60"/>
      <c r="AC32" s="55" t="s">
        <v>145</v>
      </c>
      <c r="AF32" s="55" t="s">
        <v>146</v>
      </c>
      <c r="AI32" s="90" t="s">
        <v>147</v>
      </c>
    </row>
    <row r="33">
      <c r="A33" s="32" t="s">
        <v>126</v>
      </c>
      <c r="B33" s="67">
        <v>23.0</v>
      </c>
      <c r="C33" s="71" t="s">
        <v>148</v>
      </c>
      <c r="D33" s="80"/>
      <c r="E33" s="70">
        <v>5.0</v>
      </c>
      <c r="F33" s="71" t="s">
        <v>123</v>
      </c>
      <c r="G33" s="91">
        <v>44088.0</v>
      </c>
      <c r="H33" s="84">
        <v>44088.0</v>
      </c>
      <c r="I33" s="74">
        <f t="shared" si="1"/>
        <v>3.630136986</v>
      </c>
      <c r="J33" s="71">
        <f>vlookup(I33,'Table for Factors'!$C$30:$D$35,2,true)</f>
        <v>1</v>
      </c>
      <c r="K33" s="71">
        <f>vlookup(E33,'Table for Factors'!$C$38:$D$43,2,false)</f>
        <v>5</v>
      </c>
      <c r="L33" s="70">
        <v>2.0</v>
      </c>
      <c r="M33" s="24">
        <f t="shared" si="2"/>
        <v>3.65</v>
      </c>
      <c r="N33" s="75">
        <f t="shared" si="3"/>
        <v>0.04734111543</v>
      </c>
      <c r="O33" s="76">
        <f t="shared" si="4"/>
        <v>56809.33852</v>
      </c>
      <c r="R33" s="20"/>
      <c r="S33" s="60"/>
      <c r="AC33" s="55" t="s">
        <v>149</v>
      </c>
      <c r="AD33" s="55" t="s">
        <v>150</v>
      </c>
      <c r="AF33" s="55" t="s">
        <v>149</v>
      </c>
      <c r="AG33" s="55" t="s">
        <v>151</v>
      </c>
      <c r="AI33" s="55" t="s">
        <v>149</v>
      </c>
      <c r="AJ33" s="55" t="s">
        <v>152</v>
      </c>
    </row>
    <row r="34">
      <c r="A34" s="32" t="s">
        <v>126</v>
      </c>
      <c r="B34" s="67">
        <v>25.0</v>
      </c>
      <c r="C34" s="71" t="s">
        <v>153</v>
      </c>
      <c r="D34" s="80"/>
      <c r="E34" s="70">
        <v>4.75</v>
      </c>
      <c r="F34" s="71" t="s">
        <v>131</v>
      </c>
      <c r="G34" s="86">
        <v>44308.0</v>
      </c>
      <c r="H34" s="73">
        <v>44308.0</v>
      </c>
      <c r="I34" s="74">
        <f t="shared" si="1"/>
        <v>3.02739726</v>
      </c>
      <c r="J34" s="71">
        <f>vlookup(I34,'Table for Factors'!$C$30:$D$35,2,true)</f>
        <v>1</v>
      </c>
      <c r="K34" s="71">
        <f>vlookup(E34,'Table for Factors'!$C$38:$D$43,2,false)</f>
        <v>4</v>
      </c>
      <c r="L34" s="70">
        <v>1.0</v>
      </c>
      <c r="M34" s="24">
        <f t="shared" si="2"/>
        <v>2.8</v>
      </c>
      <c r="N34" s="75">
        <f t="shared" si="3"/>
        <v>0.03631647211</v>
      </c>
      <c r="O34" s="76">
        <f t="shared" si="4"/>
        <v>43579.76654</v>
      </c>
      <c r="R34" s="20"/>
      <c r="S34" s="60"/>
      <c r="AC34" s="55">
        <v>1.0</v>
      </c>
      <c r="AD34" s="55">
        <v>3.0</v>
      </c>
      <c r="AF34" s="55">
        <v>1.0</v>
      </c>
      <c r="AG34" s="55">
        <v>3.5</v>
      </c>
      <c r="AI34" s="55">
        <v>1.0</v>
      </c>
    </row>
    <row r="35">
      <c r="AC35" s="55">
        <v>2.0</v>
      </c>
      <c r="AD35" s="55">
        <v>5.0</v>
      </c>
      <c r="AF35" s="55">
        <v>2.0</v>
      </c>
      <c r="AG35" s="55">
        <v>4.0</v>
      </c>
      <c r="AI35" s="55">
        <v>2.0</v>
      </c>
    </row>
    <row r="36">
      <c r="L36" s="55" t="s">
        <v>23</v>
      </c>
      <c r="M36" s="63">
        <f t="shared" ref="M36:O36" si="5">sum(M11:M34)</f>
        <v>77.1</v>
      </c>
      <c r="N36" s="20">
        <f t="shared" si="5"/>
        <v>1</v>
      </c>
      <c r="O36" s="60">
        <f t="shared" si="5"/>
        <v>1200000</v>
      </c>
      <c r="AC36" s="55"/>
      <c r="AD36" s="55"/>
      <c r="AF36" s="55"/>
      <c r="AG36" s="55"/>
      <c r="AI36" s="55"/>
    </row>
    <row r="37">
      <c r="A37" s="24"/>
      <c r="B37" s="24"/>
      <c r="C37" s="92"/>
      <c r="D37" s="24"/>
      <c r="E37" s="92"/>
      <c r="F37" s="82"/>
      <c r="G37" s="93"/>
      <c r="H37" s="82"/>
      <c r="I37" s="24"/>
      <c r="J37" s="71"/>
      <c r="K37" s="71"/>
      <c r="L37" s="92"/>
      <c r="M37" s="24"/>
      <c r="N37" s="75"/>
      <c r="O37" s="24"/>
      <c r="AC37" s="55"/>
      <c r="AD37" s="55"/>
      <c r="AF37" s="55"/>
      <c r="AG37" s="55"/>
      <c r="AI37" s="55"/>
    </row>
    <row r="38">
      <c r="A38" s="24"/>
      <c r="B38" s="24"/>
      <c r="C38" s="92"/>
      <c r="D38" s="24"/>
      <c r="E38" s="92"/>
      <c r="F38" s="82"/>
      <c r="G38" s="93"/>
      <c r="H38" s="82"/>
      <c r="I38" s="24"/>
      <c r="J38" s="71"/>
      <c r="K38" s="71"/>
      <c r="L38" s="92"/>
      <c r="M38" s="24"/>
      <c r="N38" s="75"/>
      <c r="O38" s="24"/>
      <c r="P38" s="55" t="s">
        <v>23</v>
      </c>
      <c r="AC38" s="55"/>
      <c r="AD38" s="55"/>
      <c r="AF38" s="55"/>
      <c r="AG38" s="55"/>
      <c r="AI38" s="55"/>
    </row>
    <row r="39">
      <c r="A39" s="24"/>
      <c r="B39" s="24"/>
      <c r="C39" s="92"/>
      <c r="D39" s="24"/>
      <c r="E39" s="92"/>
      <c r="F39" s="82"/>
      <c r="G39" s="93"/>
      <c r="H39" s="82"/>
      <c r="I39" s="24"/>
      <c r="J39" s="71"/>
      <c r="K39" s="71"/>
      <c r="L39" s="92"/>
      <c r="M39" s="24"/>
      <c r="N39" s="75"/>
      <c r="O39" s="24"/>
      <c r="AC39" s="55"/>
      <c r="AD39" s="55"/>
      <c r="AF39" s="55"/>
      <c r="AG39" s="55"/>
      <c r="AI39" s="55"/>
    </row>
    <row r="40">
      <c r="A40" s="24"/>
      <c r="B40" s="24"/>
      <c r="C40" s="24"/>
      <c r="D40" s="24"/>
      <c r="E40" s="92"/>
      <c r="F40" s="82"/>
      <c r="G40" s="93"/>
      <c r="H40" s="82"/>
      <c r="I40" s="24"/>
      <c r="J40" s="24"/>
      <c r="K40" s="24"/>
      <c r="L40" s="92"/>
      <c r="M40" s="24"/>
      <c r="N40" s="75"/>
      <c r="O40" s="24"/>
      <c r="AC40" s="55"/>
      <c r="AD40" s="55"/>
      <c r="AF40" s="55"/>
      <c r="AG40" s="55"/>
      <c r="AI40" s="55"/>
    </row>
    <row r="41">
      <c r="A41" s="24"/>
      <c r="B41" s="24"/>
      <c r="C41" s="24"/>
      <c r="D41" s="24"/>
      <c r="E41" s="92"/>
      <c r="G41" s="93"/>
      <c r="H41" s="82"/>
      <c r="I41" s="24"/>
      <c r="J41" s="24"/>
      <c r="K41" s="24"/>
      <c r="L41" s="92"/>
      <c r="M41" s="24"/>
      <c r="N41" s="75"/>
      <c r="O41" s="24"/>
      <c r="AC41" s="55"/>
      <c r="AD41" s="55"/>
      <c r="AF41" s="55"/>
      <c r="AG41" s="55"/>
      <c r="AI41" s="55"/>
    </row>
    <row r="42">
      <c r="A42" s="24"/>
      <c r="B42" s="24"/>
      <c r="C42" s="24"/>
      <c r="D42" s="24"/>
      <c r="E42" s="92"/>
      <c r="F42" s="55" t="s">
        <v>154</v>
      </c>
      <c r="G42" s="93"/>
      <c r="H42" s="82"/>
      <c r="I42" s="24"/>
      <c r="J42" s="24"/>
      <c r="K42" s="24"/>
      <c r="L42" s="92"/>
      <c r="M42" s="24"/>
      <c r="N42" s="75"/>
      <c r="O42" s="24"/>
      <c r="AC42" s="55"/>
      <c r="AD42" s="55"/>
      <c r="AF42" s="55"/>
      <c r="AG42" s="55"/>
      <c r="AI42" s="55"/>
    </row>
    <row r="43">
      <c r="A43" s="32" t="s">
        <v>126</v>
      </c>
      <c r="B43" s="67">
        <v>24.0</v>
      </c>
      <c r="C43" s="71" t="s">
        <v>155</v>
      </c>
      <c r="D43" s="80"/>
      <c r="E43" s="70">
        <v>5.0</v>
      </c>
      <c r="F43" s="71" t="s">
        <v>123</v>
      </c>
      <c r="G43" s="88">
        <v>44410.0</v>
      </c>
      <c r="H43" s="84">
        <v>44410.0</v>
      </c>
      <c r="I43" s="89">
        <f t="shared" ref="I43:I44" si="6">days(G43,$I$7)/-365</f>
        <v>2.747945205</v>
      </c>
      <c r="J43" s="71">
        <v>1.0</v>
      </c>
      <c r="K43" s="71">
        <f>vlookup(E43,'Table for Factors'!$C$38:$D$43,2,false)</f>
        <v>5</v>
      </c>
      <c r="L43" s="70">
        <v>2.0</v>
      </c>
      <c r="M43" s="24">
        <f t="shared" ref="M43:M44" si="7">SUMPRODUCT(J43:L43,$J$9:$L$9)</f>
        <v>3.65</v>
      </c>
      <c r="N43" s="75">
        <f t="shared" ref="N43:N44" si="8">M43/$M$9</f>
        <v>0.04734111543</v>
      </c>
      <c r="O43" s="24"/>
      <c r="R43" s="20"/>
      <c r="S43" s="60"/>
      <c r="AC43" s="55"/>
      <c r="AD43" s="55"/>
      <c r="AF43" s="55"/>
      <c r="AG43" s="55"/>
      <c r="AI43" s="55"/>
    </row>
    <row r="44">
      <c r="A44" s="32" t="s">
        <v>126</v>
      </c>
      <c r="B44" s="67">
        <v>26.0</v>
      </c>
      <c r="C44" s="71" t="s">
        <v>156</v>
      </c>
      <c r="D44" s="80"/>
      <c r="E44" s="70">
        <v>4.75</v>
      </c>
      <c r="F44" s="71" t="s">
        <v>131</v>
      </c>
      <c r="G44" s="87">
        <v>44652.0</v>
      </c>
      <c r="H44" s="73">
        <v>44652.0</v>
      </c>
      <c r="I44" s="89">
        <f t="shared" si="6"/>
        <v>2.084931507</v>
      </c>
      <c r="J44" s="71">
        <v>1.0</v>
      </c>
      <c r="K44" s="71">
        <f>vlookup(E44,'Table for Factors'!$C$38:$D$43,2,false)</f>
        <v>4</v>
      </c>
      <c r="L44" s="70">
        <v>1.0</v>
      </c>
      <c r="M44" s="24">
        <f t="shared" si="7"/>
        <v>2.8</v>
      </c>
      <c r="N44" s="75">
        <f t="shared" si="8"/>
        <v>0.03631647211</v>
      </c>
      <c r="O44" s="24"/>
      <c r="R44" s="20"/>
      <c r="S44" s="60"/>
      <c r="AC44" s="55">
        <v>3.0</v>
      </c>
      <c r="AD44" s="55">
        <v>7.0</v>
      </c>
      <c r="AF44" s="55">
        <v>3.0</v>
      </c>
      <c r="AG44" s="55">
        <v>4.5</v>
      </c>
      <c r="AI44" s="55">
        <v>3.0</v>
      </c>
    </row>
    <row r="45">
      <c r="A45" s="94" t="s">
        <v>157</v>
      </c>
      <c r="B45" s="95">
        <v>8.0</v>
      </c>
      <c r="C45" s="96" t="s">
        <v>38</v>
      </c>
      <c r="D45" s="97">
        <v>20000.0</v>
      </c>
      <c r="E45" s="98"/>
      <c r="F45" s="55" t="s">
        <v>158</v>
      </c>
      <c r="G45" s="99"/>
      <c r="H45" s="98"/>
      <c r="I45" s="98"/>
      <c r="J45" s="98"/>
      <c r="K45" s="98"/>
      <c r="L45" s="98"/>
      <c r="M45" s="98"/>
      <c r="N45" s="100"/>
      <c r="O45" s="98"/>
      <c r="P45" s="101"/>
      <c r="Q45" s="101"/>
      <c r="R45" s="101"/>
      <c r="S45" s="102"/>
      <c r="T45" s="102"/>
      <c r="U45" s="101"/>
      <c r="V45" s="102"/>
      <c r="W45" s="102"/>
      <c r="X45" s="101"/>
      <c r="Y45" s="102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</row>
    <row r="46">
      <c r="A46" s="103" t="s">
        <v>157</v>
      </c>
      <c r="B46" s="104">
        <v>10.0</v>
      </c>
      <c r="C46" s="105" t="s">
        <v>41</v>
      </c>
      <c r="D46" s="106">
        <v>20000.0</v>
      </c>
      <c r="E46" s="107"/>
      <c r="F46" s="55" t="s">
        <v>159</v>
      </c>
      <c r="G46" s="108"/>
      <c r="H46" s="107"/>
      <c r="I46" s="107"/>
      <c r="J46" s="107"/>
      <c r="K46" s="107"/>
      <c r="L46" s="107"/>
      <c r="M46" s="107"/>
      <c r="N46" s="109"/>
      <c r="O46" s="107"/>
      <c r="P46" s="101"/>
      <c r="Q46" s="101"/>
      <c r="R46" s="101"/>
      <c r="S46" s="102"/>
      <c r="T46" s="102"/>
      <c r="U46" s="101"/>
      <c r="V46" s="102"/>
      <c r="W46" s="102"/>
      <c r="X46" s="101"/>
      <c r="Y46" s="102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</row>
    <row r="47">
      <c r="A47" s="103" t="s">
        <v>157</v>
      </c>
      <c r="B47" s="104">
        <v>11.0</v>
      </c>
      <c r="C47" s="105" t="s">
        <v>42</v>
      </c>
      <c r="D47" s="106">
        <v>20000.0</v>
      </c>
      <c r="E47" s="107"/>
      <c r="F47" s="107"/>
      <c r="G47" s="108"/>
      <c r="H47" s="107"/>
      <c r="I47" s="107"/>
      <c r="J47" s="107"/>
      <c r="K47" s="107"/>
      <c r="L47" s="107"/>
      <c r="M47" s="107"/>
      <c r="N47" s="109"/>
      <c r="O47" s="107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</row>
    <row r="48">
      <c r="A48" s="24"/>
      <c r="B48" s="24"/>
      <c r="C48" s="24"/>
      <c r="D48" s="24"/>
      <c r="E48" s="92"/>
      <c r="F48" s="92"/>
      <c r="G48" s="92"/>
      <c r="H48" s="92"/>
      <c r="I48" s="24"/>
      <c r="J48" s="24"/>
      <c r="K48" s="24"/>
      <c r="L48" s="24"/>
      <c r="M48" s="24"/>
      <c r="N48" s="75"/>
      <c r="O48" s="24"/>
    </row>
    <row r="49">
      <c r="E49" s="110"/>
      <c r="F49" s="110"/>
      <c r="G49" s="110"/>
      <c r="H49" s="110"/>
      <c r="N49" s="20"/>
      <c r="P49" s="55" t="s">
        <v>23</v>
      </c>
      <c r="Q49" s="63">
        <f>SUM(Q11:Q44)</f>
        <v>0</v>
      </c>
    </row>
    <row r="50">
      <c r="N50" s="20"/>
    </row>
    <row r="51">
      <c r="N51" s="20"/>
    </row>
    <row r="52">
      <c r="N52" s="20"/>
    </row>
    <row r="53">
      <c r="N53" s="20"/>
    </row>
    <row r="54">
      <c r="N54" s="20"/>
    </row>
    <row r="55">
      <c r="N55" s="20"/>
    </row>
    <row r="56">
      <c r="N56" s="20"/>
    </row>
    <row r="57">
      <c r="N57" s="20"/>
    </row>
    <row r="58">
      <c r="N58" s="20"/>
    </row>
    <row r="59">
      <c r="N59" s="20"/>
    </row>
    <row r="60">
      <c r="N60" s="20"/>
    </row>
    <row r="61">
      <c r="N61" s="20"/>
    </row>
    <row r="62">
      <c r="N62" s="20"/>
    </row>
    <row r="63">
      <c r="N63" s="20"/>
    </row>
    <row r="64">
      <c r="N64" s="20"/>
    </row>
    <row r="65">
      <c r="N65" s="20"/>
    </row>
    <row r="66">
      <c r="N66" s="20"/>
    </row>
    <row r="67">
      <c r="N67" s="20"/>
    </row>
    <row r="68">
      <c r="N68" s="20"/>
    </row>
    <row r="69">
      <c r="N69" s="20"/>
    </row>
    <row r="70">
      <c r="N70" s="20"/>
    </row>
    <row r="71">
      <c r="N71" s="20"/>
    </row>
    <row r="72">
      <c r="N72" s="20"/>
    </row>
    <row r="73">
      <c r="N73" s="20"/>
    </row>
    <row r="74">
      <c r="N74" s="20"/>
    </row>
    <row r="75">
      <c r="N75" s="20"/>
    </row>
    <row r="76">
      <c r="N76" s="20"/>
    </row>
    <row r="77">
      <c r="N77" s="20"/>
    </row>
    <row r="78">
      <c r="N78" s="20"/>
    </row>
    <row r="79">
      <c r="N79" s="20"/>
    </row>
    <row r="80">
      <c r="N80" s="20"/>
    </row>
    <row r="81">
      <c r="N81" s="20"/>
    </row>
    <row r="82">
      <c r="N82" s="20"/>
    </row>
    <row r="83">
      <c r="N83" s="20"/>
    </row>
    <row r="84">
      <c r="N84" s="20"/>
    </row>
    <row r="85">
      <c r="N85" s="20"/>
    </row>
    <row r="86">
      <c r="N86" s="20"/>
    </row>
    <row r="87">
      <c r="N87" s="20"/>
    </row>
    <row r="88">
      <c r="N88" s="20"/>
    </row>
    <row r="89">
      <c r="N89" s="20"/>
    </row>
    <row r="90">
      <c r="N90" s="20"/>
    </row>
    <row r="91">
      <c r="N91" s="20"/>
    </row>
    <row r="92">
      <c r="N92" s="20"/>
    </row>
    <row r="93">
      <c r="N93" s="20"/>
    </row>
    <row r="94">
      <c r="N94" s="20"/>
    </row>
    <row r="95">
      <c r="N95" s="20"/>
    </row>
    <row r="96">
      <c r="N96" s="20"/>
    </row>
    <row r="97">
      <c r="N97" s="20"/>
    </row>
    <row r="98">
      <c r="N98" s="20"/>
    </row>
    <row r="99">
      <c r="N99" s="20"/>
    </row>
    <row r="100">
      <c r="N100" s="20"/>
    </row>
    <row r="101">
      <c r="N101" s="20"/>
    </row>
    <row r="102">
      <c r="N102" s="20"/>
    </row>
    <row r="103">
      <c r="N103" s="20"/>
    </row>
    <row r="104">
      <c r="N104" s="20"/>
    </row>
    <row r="105">
      <c r="N105" s="20"/>
    </row>
    <row r="106">
      <c r="N106" s="20"/>
    </row>
    <row r="107">
      <c r="N107" s="20"/>
    </row>
    <row r="108">
      <c r="N108" s="20"/>
    </row>
    <row r="109">
      <c r="N109" s="20"/>
    </row>
    <row r="110">
      <c r="N110" s="20"/>
    </row>
    <row r="111">
      <c r="N111" s="20"/>
    </row>
    <row r="112">
      <c r="N112" s="20"/>
    </row>
    <row r="113">
      <c r="N113" s="20"/>
    </row>
    <row r="114">
      <c r="N114" s="20"/>
    </row>
    <row r="115">
      <c r="N115" s="20"/>
    </row>
    <row r="116">
      <c r="N116" s="20"/>
    </row>
    <row r="117">
      <c r="N117" s="20"/>
    </row>
    <row r="118">
      <c r="N118" s="20"/>
    </row>
    <row r="119">
      <c r="N119" s="20"/>
    </row>
    <row r="120">
      <c r="N120" s="20"/>
    </row>
    <row r="121">
      <c r="N121" s="20"/>
    </row>
    <row r="122">
      <c r="N122" s="20"/>
    </row>
    <row r="123">
      <c r="N123" s="20"/>
    </row>
    <row r="124">
      <c r="N124" s="20"/>
    </row>
    <row r="125">
      <c r="N125" s="20"/>
    </row>
    <row r="126">
      <c r="N126" s="20"/>
    </row>
    <row r="127">
      <c r="N127" s="20"/>
    </row>
    <row r="128">
      <c r="N128" s="20"/>
    </row>
    <row r="129">
      <c r="N129" s="20"/>
    </row>
    <row r="130">
      <c r="N130" s="20"/>
    </row>
    <row r="131">
      <c r="N131" s="20"/>
    </row>
    <row r="132">
      <c r="N132" s="20"/>
    </row>
    <row r="133">
      <c r="N133" s="20"/>
    </row>
    <row r="134">
      <c r="N134" s="20"/>
    </row>
    <row r="135">
      <c r="N135" s="20"/>
    </row>
    <row r="136">
      <c r="N136" s="20"/>
    </row>
    <row r="137">
      <c r="N137" s="20"/>
    </row>
    <row r="138">
      <c r="N138" s="20"/>
    </row>
    <row r="139">
      <c r="N139" s="20"/>
    </row>
    <row r="140">
      <c r="N140" s="20"/>
    </row>
    <row r="141">
      <c r="N141" s="20"/>
    </row>
    <row r="142">
      <c r="N142" s="20"/>
    </row>
    <row r="143">
      <c r="N143" s="20"/>
    </row>
    <row r="144">
      <c r="N144" s="20"/>
    </row>
    <row r="145">
      <c r="N145" s="20"/>
    </row>
    <row r="146">
      <c r="N146" s="20"/>
    </row>
    <row r="147">
      <c r="N147" s="20"/>
    </row>
    <row r="148">
      <c r="N148" s="20"/>
    </row>
    <row r="149">
      <c r="N149" s="20"/>
    </row>
    <row r="150">
      <c r="N150" s="20"/>
    </row>
    <row r="151">
      <c r="N151" s="20"/>
    </row>
    <row r="152">
      <c r="N152" s="20"/>
    </row>
    <row r="153">
      <c r="N153" s="20"/>
    </row>
    <row r="154">
      <c r="N154" s="20"/>
    </row>
    <row r="155">
      <c r="N155" s="20"/>
    </row>
    <row r="156">
      <c r="N156" s="20"/>
    </row>
    <row r="157">
      <c r="N157" s="20"/>
    </row>
    <row r="158">
      <c r="N158" s="20"/>
    </row>
    <row r="159">
      <c r="N159" s="20"/>
    </row>
    <row r="160">
      <c r="N160" s="20"/>
    </row>
    <row r="161">
      <c r="N161" s="20"/>
    </row>
    <row r="162">
      <c r="N162" s="20"/>
    </row>
    <row r="163">
      <c r="N163" s="20"/>
    </row>
    <row r="164">
      <c r="N164" s="20"/>
    </row>
    <row r="165">
      <c r="N165" s="20"/>
    </row>
    <row r="166">
      <c r="N166" s="20"/>
    </row>
    <row r="167">
      <c r="N167" s="20"/>
    </row>
    <row r="168">
      <c r="N168" s="20"/>
    </row>
    <row r="169">
      <c r="N169" s="20"/>
    </row>
    <row r="170">
      <c r="N170" s="20"/>
    </row>
    <row r="171">
      <c r="N171" s="20"/>
    </row>
    <row r="172">
      <c r="N172" s="20"/>
    </row>
    <row r="173">
      <c r="N173" s="20"/>
    </row>
    <row r="174">
      <c r="N174" s="20"/>
    </row>
    <row r="175">
      <c r="N175" s="20"/>
    </row>
    <row r="176">
      <c r="N176" s="20"/>
    </row>
    <row r="177">
      <c r="N177" s="20"/>
    </row>
    <row r="178">
      <c r="N178" s="20"/>
    </row>
    <row r="179">
      <c r="N179" s="20"/>
    </row>
    <row r="180">
      <c r="N180" s="20"/>
    </row>
    <row r="181">
      <c r="N181" s="20"/>
    </row>
    <row r="182">
      <c r="N182" s="20"/>
    </row>
    <row r="183">
      <c r="N183" s="20"/>
    </row>
    <row r="184">
      <c r="N184" s="20"/>
    </row>
    <row r="185">
      <c r="N185" s="20"/>
    </row>
    <row r="186">
      <c r="N186" s="20"/>
    </row>
    <row r="187">
      <c r="N187" s="20"/>
    </row>
    <row r="188">
      <c r="N188" s="20"/>
    </row>
    <row r="189">
      <c r="N189" s="20"/>
    </row>
    <row r="190">
      <c r="N190" s="20"/>
    </row>
    <row r="191">
      <c r="N191" s="20"/>
    </row>
    <row r="192">
      <c r="N192" s="20"/>
    </row>
    <row r="193">
      <c r="N193" s="20"/>
    </row>
    <row r="194">
      <c r="N194" s="20"/>
    </row>
    <row r="195">
      <c r="N195" s="20"/>
    </row>
    <row r="196">
      <c r="N196" s="20"/>
    </row>
    <row r="197">
      <c r="N197" s="20"/>
    </row>
    <row r="198">
      <c r="N198" s="20"/>
    </row>
    <row r="199">
      <c r="N199" s="20"/>
    </row>
    <row r="200">
      <c r="N200" s="20"/>
    </row>
    <row r="201">
      <c r="N201" s="20"/>
    </row>
    <row r="202">
      <c r="N202" s="20"/>
    </row>
    <row r="203">
      <c r="N203" s="20"/>
    </row>
    <row r="204">
      <c r="N204" s="20"/>
    </row>
    <row r="205">
      <c r="N205" s="20"/>
    </row>
    <row r="206">
      <c r="N206" s="20"/>
    </row>
    <row r="207">
      <c r="N207" s="20"/>
    </row>
    <row r="208">
      <c r="N208" s="20"/>
    </row>
    <row r="209">
      <c r="N209" s="20"/>
    </row>
    <row r="210">
      <c r="N210" s="20"/>
    </row>
    <row r="211">
      <c r="N211" s="20"/>
    </row>
    <row r="212">
      <c r="N212" s="20"/>
    </row>
    <row r="213">
      <c r="N213" s="20"/>
    </row>
    <row r="214">
      <c r="N214" s="20"/>
    </row>
    <row r="215">
      <c r="N215" s="20"/>
    </row>
    <row r="216">
      <c r="N216" s="20"/>
    </row>
    <row r="217">
      <c r="N217" s="20"/>
    </row>
    <row r="218">
      <c r="N218" s="20"/>
    </row>
    <row r="219">
      <c r="N219" s="20"/>
    </row>
    <row r="220">
      <c r="N220" s="20"/>
    </row>
    <row r="221">
      <c r="N221" s="20"/>
    </row>
    <row r="222">
      <c r="N222" s="20"/>
    </row>
    <row r="223">
      <c r="N223" s="20"/>
    </row>
    <row r="224">
      <c r="N224" s="20"/>
    </row>
    <row r="225">
      <c r="N225" s="20"/>
    </row>
    <row r="226">
      <c r="N226" s="20"/>
    </row>
    <row r="227">
      <c r="N227" s="20"/>
    </row>
    <row r="228">
      <c r="N228" s="20"/>
    </row>
    <row r="229">
      <c r="N229" s="20"/>
    </row>
    <row r="230">
      <c r="N230" s="20"/>
    </row>
    <row r="231">
      <c r="N231" s="20"/>
    </row>
    <row r="232">
      <c r="N232" s="20"/>
    </row>
    <row r="233">
      <c r="N233" s="20"/>
    </row>
    <row r="234">
      <c r="N234" s="20"/>
    </row>
    <row r="235">
      <c r="N235" s="20"/>
    </row>
    <row r="236">
      <c r="N236" s="20"/>
    </row>
    <row r="237">
      <c r="N237" s="20"/>
    </row>
    <row r="238">
      <c r="N238" s="20"/>
    </row>
    <row r="239">
      <c r="N239" s="20"/>
    </row>
    <row r="240">
      <c r="N240" s="20"/>
    </row>
    <row r="241">
      <c r="N241" s="20"/>
    </row>
    <row r="242">
      <c r="N242" s="20"/>
    </row>
    <row r="243">
      <c r="N243" s="20"/>
    </row>
    <row r="244">
      <c r="N244" s="20"/>
    </row>
    <row r="245">
      <c r="N245" s="20"/>
    </row>
    <row r="246">
      <c r="N246" s="20"/>
    </row>
    <row r="247">
      <c r="N247" s="20"/>
    </row>
    <row r="248">
      <c r="N248" s="20"/>
    </row>
    <row r="249">
      <c r="N249" s="20"/>
    </row>
    <row r="250">
      <c r="N250" s="20"/>
    </row>
    <row r="251">
      <c r="N251" s="20"/>
    </row>
    <row r="252">
      <c r="N252" s="20"/>
    </row>
    <row r="253">
      <c r="N253" s="20"/>
    </row>
    <row r="254">
      <c r="N254" s="20"/>
    </row>
    <row r="255">
      <c r="N255" s="20"/>
    </row>
    <row r="256">
      <c r="N256" s="20"/>
    </row>
    <row r="257">
      <c r="N257" s="20"/>
    </row>
    <row r="258">
      <c r="N258" s="20"/>
    </row>
    <row r="259">
      <c r="N259" s="20"/>
    </row>
    <row r="260">
      <c r="N260" s="20"/>
    </row>
    <row r="261">
      <c r="N261" s="20"/>
    </row>
    <row r="262">
      <c r="N262" s="20"/>
    </row>
    <row r="263">
      <c r="N263" s="20"/>
    </row>
    <row r="264">
      <c r="N264" s="20"/>
    </row>
    <row r="265">
      <c r="N265" s="20"/>
    </row>
    <row r="266">
      <c r="N266" s="20"/>
    </row>
    <row r="267">
      <c r="N267" s="20"/>
    </row>
    <row r="268">
      <c r="N268" s="20"/>
    </row>
    <row r="269">
      <c r="N269" s="20"/>
    </row>
    <row r="270">
      <c r="N270" s="20"/>
    </row>
    <row r="271">
      <c r="N271" s="20"/>
    </row>
    <row r="272">
      <c r="N272" s="20"/>
    </row>
    <row r="273">
      <c r="N273" s="20"/>
    </row>
    <row r="274">
      <c r="N274" s="20"/>
    </row>
    <row r="275">
      <c r="N275" s="20"/>
    </row>
    <row r="276">
      <c r="N276" s="20"/>
    </row>
    <row r="277">
      <c r="N277" s="20"/>
    </row>
    <row r="278">
      <c r="N278" s="20"/>
    </row>
    <row r="279">
      <c r="N279" s="20"/>
    </row>
    <row r="280">
      <c r="N280" s="20"/>
    </row>
    <row r="281">
      <c r="N281" s="20"/>
    </row>
    <row r="282">
      <c r="N282" s="20"/>
    </row>
    <row r="283">
      <c r="N283" s="20"/>
    </row>
    <row r="284">
      <c r="N284" s="20"/>
    </row>
    <row r="285">
      <c r="N285" s="20"/>
    </row>
    <row r="286">
      <c r="N286" s="20"/>
    </row>
    <row r="287">
      <c r="N287" s="20"/>
    </row>
    <row r="288">
      <c r="N288" s="20"/>
    </row>
    <row r="289">
      <c r="N289" s="20"/>
    </row>
    <row r="290">
      <c r="N290" s="20"/>
    </row>
    <row r="291">
      <c r="N291" s="20"/>
    </row>
    <row r="292">
      <c r="N292" s="20"/>
    </row>
    <row r="293">
      <c r="N293" s="20"/>
    </row>
    <row r="294">
      <c r="N294" s="20"/>
    </row>
    <row r="295">
      <c r="N295" s="20"/>
    </row>
    <row r="296">
      <c r="N296" s="20"/>
    </row>
    <row r="297">
      <c r="N297" s="20"/>
    </row>
    <row r="298">
      <c r="N298" s="20"/>
    </row>
    <row r="299">
      <c r="N299" s="20"/>
    </row>
    <row r="300">
      <c r="N300" s="20"/>
    </row>
    <row r="301">
      <c r="N301" s="20"/>
    </row>
    <row r="302">
      <c r="N302" s="20"/>
    </row>
    <row r="303">
      <c r="N303" s="20"/>
    </row>
    <row r="304">
      <c r="N304" s="20"/>
    </row>
    <row r="305">
      <c r="N305" s="20"/>
    </row>
    <row r="306">
      <c r="N306" s="20"/>
    </row>
    <row r="307">
      <c r="N307" s="20"/>
    </row>
    <row r="308">
      <c r="N308" s="20"/>
    </row>
    <row r="309">
      <c r="N309" s="20"/>
    </row>
    <row r="310">
      <c r="N310" s="20"/>
    </row>
    <row r="311">
      <c r="N311" s="20"/>
    </row>
    <row r="312">
      <c r="N312" s="20"/>
    </row>
    <row r="313">
      <c r="N313" s="20"/>
    </row>
    <row r="314">
      <c r="N314" s="20"/>
    </row>
    <row r="315">
      <c r="N315" s="20"/>
    </row>
    <row r="316">
      <c r="N316" s="20"/>
    </row>
    <row r="317">
      <c r="N317" s="20"/>
    </row>
    <row r="318">
      <c r="N318" s="20"/>
    </row>
    <row r="319">
      <c r="N319" s="20"/>
    </row>
    <row r="320">
      <c r="N320" s="20"/>
    </row>
    <row r="321">
      <c r="N321" s="20"/>
    </row>
    <row r="322">
      <c r="N322" s="20"/>
    </row>
    <row r="323">
      <c r="N323" s="20"/>
    </row>
    <row r="324">
      <c r="N324" s="20"/>
    </row>
    <row r="325">
      <c r="N325" s="20"/>
    </row>
    <row r="326">
      <c r="N326" s="20"/>
    </row>
    <row r="327">
      <c r="N327" s="20"/>
    </row>
    <row r="328">
      <c r="N328" s="20"/>
    </row>
    <row r="329">
      <c r="N329" s="20"/>
    </row>
    <row r="330">
      <c r="N330" s="20"/>
    </row>
    <row r="331">
      <c r="N331" s="20"/>
    </row>
    <row r="332">
      <c r="N332" s="20"/>
    </row>
    <row r="333">
      <c r="N333" s="20"/>
    </row>
    <row r="334">
      <c r="N334" s="20"/>
    </row>
    <row r="335">
      <c r="N335" s="20"/>
    </row>
    <row r="336">
      <c r="N336" s="20"/>
    </row>
    <row r="337">
      <c r="N337" s="20"/>
    </row>
    <row r="338">
      <c r="N338" s="20"/>
    </row>
    <row r="339">
      <c r="N339" s="20"/>
    </row>
    <row r="340">
      <c r="N340" s="20"/>
    </row>
    <row r="341">
      <c r="N341" s="20"/>
    </row>
    <row r="342">
      <c r="N342" s="20"/>
    </row>
    <row r="343">
      <c r="N343" s="20"/>
    </row>
    <row r="344">
      <c r="N344" s="20"/>
    </row>
    <row r="345">
      <c r="N345" s="20"/>
    </row>
    <row r="346">
      <c r="N346" s="20"/>
    </row>
    <row r="347">
      <c r="N347" s="20"/>
    </row>
    <row r="348">
      <c r="N348" s="20"/>
    </row>
    <row r="349">
      <c r="N349" s="20"/>
    </row>
    <row r="350">
      <c r="N350" s="20"/>
    </row>
    <row r="351">
      <c r="N351" s="20"/>
    </row>
    <row r="352">
      <c r="N352" s="20"/>
    </row>
    <row r="353">
      <c r="N353" s="20"/>
    </row>
    <row r="354">
      <c r="N354" s="20"/>
    </row>
    <row r="355">
      <c r="N355" s="20"/>
    </row>
    <row r="356">
      <c r="N356" s="20"/>
    </row>
    <row r="357">
      <c r="N357" s="20"/>
    </row>
    <row r="358">
      <c r="N358" s="20"/>
    </row>
    <row r="359">
      <c r="N359" s="20"/>
    </row>
    <row r="360">
      <c r="N360" s="20"/>
    </row>
    <row r="361">
      <c r="N361" s="20"/>
    </row>
    <row r="362">
      <c r="N362" s="20"/>
    </row>
    <row r="363">
      <c r="N363" s="20"/>
    </row>
    <row r="364">
      <c r="N364" s="20"/>
    </row>
    <row r="365">
      <c r="N365" s="20"/>
    </row>
    <row r="366">
      <c r="N366" s="20"/>
    </row>
    <row r="367">
      <c r="N367" s="20"/>
    </row>
    <row r="368">
      <c r="N368" s="20"/>
    </row>
    <row r="369">
      <c r="N369" s="20"/>
    </row>
    <row r="370">
      <c r="N370" s="20"/>
    </row>
    <row r="371">
      <c r="N371" s="20"/>
    </row>
    <row r="372">
      <c r="N372" s="20"/>
    </row>
    <row r="373">
      <c r="N373" s="20"/>
    </row>
    <row r="374">
      <c r="N374" s="20"/>
    </row>
    <row r="375">
      <c r="N375" s="20"/>
    </row>
    <row r="376">
      <c r="N376" s="20"/>
    </row>
    <row r="377">
      <c r="N377" s="20"/>
    </row>
    <row r="378">
      <c r="N378" s="20"/>
    </row>
    <row r="379">
      <c r="N379" s="20"/>
    </row>
    <row r="380">
      <c r="N380" s="20"/>
    </row>
    <row r="381">
      <c r="N381" s="20"/>
    </row>
    <row r="382">
      <c r="N382" s="20"/>
    </row>
    <row r="383">
      <c r="N383" s="20"/>
    </row>
    <row r="384">
      <c r="N384" s="20"/>
    </row>
    <row r="385">
      <c r="N385" s="20"/>
    </row>
    <row r="386">
      <c r="N386" s="20"/>
    </row>
    <row r="387">
      <c r="N387" s="20"/>
    </row>
    <row r="388">
      <c r="N388" s="20"/>
    </row>
    <row r="389">
      <c r="N389" s="20"/>
    </row>
    <row r="390">
      <c r="N390" s="20"/>
    </row>
    <row r="391">
      <c r="N391" s="20"/>
    </row>
    <row r="392">
      <c r="N392" s="20"/>
    </row>
    <row r="393">
      <c r="N393" s="20"/>
    </row>
    <row r="394">
      <c r="N394" s="20"/>
    </row>
    <row r="395">
      <c r="N395" s="20"/>
    </row>
    <row r="396">
      <c r="N396" s="20"/>
    </row>
    <row r="397">
      <c r="N397" s="20"/>
    </row>
    <row r="398">
      <c r="N398" s="20"/>
    </row>
    <row r="399">
      <c r="N399" s="20"/>
    </row>
    <row r="400">
      <c r="N400" s="20"/>
    </row>
    <row r="401">
      <c r="N401" s="20"/>
    </row>
    <row r="402">
      <c r="N402" s="20"/>
    </row>
    <row r="403">
      <c r="N403" s="20"/>
    </row>
    <row r="404">
      <c r="N404" s="20"/>
    </row>
    <row r="405">
      <c r="N405" s="20"/>
    </row>
    <row r="406">
      <c r="N406" s="20"/>
    </row>
    <row r="407">
      <c r="N407" s="20"/>
    </row>
    <row r="408">
      <c r="N408" s="20"/>
    </row>
    <row r="409">
      <c r="N409" s="20"/>
    </row>
    <row r="410">
      <c r="N410" s="20"/>
    </row>
    <row r="411">
      <c r="N411" s="20"/>
    </row>
    <row r="412">
      <c r="N412" s="20"/>
    </row>
    <row r="413">
      <c r="N413" s="20"/>
    </row>
    <row r="414">
      <c r="N414" s="20"/>
    </row>
    <row r="415">
      <c r="N415" s="20"/>
    </row>
    <row r="416">
      <c r="N416" s="20"/>
    </row>
    <row r="417">
      <c r="N417" s="20"/>
    </row>
    <row r="418">
      <c r="N418" s="20"/>
    </row>
    <row r="419">
      <c r="N419" s="20"/>
    </row>
    <row r="420">
      <c r="N420" s="20"/>
    </row>
    <row r="421">
      <c r="N421" s="20"/>
    </row>
    <row r="422">
      <c r="N422" s="20"/>
    </row>
    <row r="423">
      <c r="N423" s="20"/>
    </row>
    <row r="424">
      <c r="N424" s="20"/>
    </row>
    <row r="425">
      <c r="N425" s="20"/>
    </row>
    <row r="426">
      <c r="N426" s="20"/>
    </row>
    <row r="427">
      <c r="N427" s="20"/>
    </row>
    <row r="428">
      <c r="N428" s="20"/>
    </row>
    <row r="429">
      <c r="N429" s="20"/>
    </row>
    <row r="430">
      <c r="N430" s="20"/>
    </row>
    <row r="431">
      <c r="N431" s="20"/>
    </row>
    <row r="432">
      <c r="N432" s="20"/>
    </row>
    <row r="433">
      <c r="N433" s="20"/>
    </row>
    <row r="434">
      <c r="N434" s="20"/>
    </row>
    <row r="435">
      <c r="N435" s="20"/>
    </row>
    <row r="436">
      <c r="N436" s="20"/>
    </row>
    <row r="437">
      <c r="N437" s="20"/>
    </row>
    <row r="438">
      <c r="N438" s="20"/>
    </row>
    <row r="439">
      <c r="N439" s="20"/>
    </row>
    <row r="440">
      <c r="N440" s="20"/>
    </row>
    <row r="441">
      <c r="N441" s="20"/>
    </row>
    <row r="442">
      <c r="N442" s="20"/>
    </row>
    <row r="443">
      <c r="N443" s="20"/>
    </row>
    <row r="444">
      <c r="N444" s="20"/>
    </row>
    <row r="445">
      <c r="N445" s="20"/>
    </row>
    <row r="446">
      <c r="N446" s="20"/>
    </row>
    <row r="447">
      <c r="N447" s="20"/>
    </row>
    <row r="448">
      <c r="N448" s="20"/>
    </row>
    <row r="449">
      <c r="N449" s="20"/>
    </row>
    <row r="450">
      <c r="N450" s="20"/>
    </row>
    <row r="451">
      <c r="N451" s="20"/>
    </row>
    <row r="452">
      <c r="N452" s="20"/>
    </row>
    <row r="453">
      <c r="N453" s="20"/>
    </row>
    <row r="454">
      <c r="N454" s="20"/>
    </row>
    <row r="455">
      <c r="N455" s="20"/>
    </row>
    <row r="456">
      <c r="N456" s="20"/>
    </row>
    <row r="457">
      <c r="N457" s="20"/>
    </row>
    <row r="458">
      <c r="N458" s="20"/>
    </row>
    <row r="459">
      <c r="N459" s="20"/>
    </row>
    <row r="460">
      <c r="N460" s="20"/>
    </row>
    <row r="461">
      <c r="N461" s="20"/>
    </row>
    <row r="462">
      <c r="N462" s="20"/>
    </row>
    <row r="463">
      <c r="N463" s="20"/>
    </row>
    <row r="464">
      <c r="N464" s="20"/>
    </row>
    <row r="465">
      <c r="N465" s="20"/>
    </row>
    <row r="466">
      <c r="N466" s="20"/>
    </row>
    <row r="467">
      <c r="N467" s="20"/>
    </row>
    <row r="468">
      <c r="N468" s="20"/>
    </row>
    <row r="469">
      <c r="N469" s="20"/>
    </row>
    <row r="470">
      <c r="N470" s="20"/>
    </row>
    <row r="471">
      <c r="N471" s="20"/>
    </row>
    <row r="472">
      <c r="N472" s="20"/>
    </row>
    <row r="473">
      <c r="N473" s="20"/>
    </row>
    <row r="474">
      <c r="N474" s="20"/>
    </row>
    <row r="475">
      <c r="N475" s="20"/>
    </row>
    <row r="476">
      <c r="N476" s="20"/>
    </row>
    <row r="477">
      <c r="N477" s="20"/>
    </row>
    <row r="478">
      <c r="N478" s="20"/>
    </row>
    <row r="479">
      <c r="N479" s="20"/>
    </row>
    <row r="480">
      <c r="N480" s="20"/>
    </row>
    <row r="481">
      <c r="N481" s="20"/>
    </row>
    <row r="482">
      <c r="N482" s="20"/>
    </row>
    <row r="483">
      <c r="N483" s="20"/>
    </row>
    <row r="484">
      <c r="N484" s="20"/>
    </row>
    <row r="485">
      <c r="N485" s="20"/>
    </row>
    <row r="486">
      <c r="N486" s="20"/>
    </row>
    <row r="487">
      <c r="N487" s="20"/>
    </row>
    <row r="488">
      <c r="N488" s="20"/>
    </row>
    <row r="489">
      <c r="N489" s="20"/>
    </row>
    <row r="490">
      <c r="N490" s="20"/>
    </row>
    <row r="491">
      <c r="N491" s="20"/>
    </row>
    <row r="492">
      <c r="N492" s="20"/>
    </row>
    <row r="493">
      <c r="N493" s="20"/>
    </row>
    <row r="494">
      <c r="N494" s="20"/>
    </row>
    <row r="495">
      <c r="N495" s="20"/>
    </row>
    <row r="496">
      <c r="N496" s="20"/>
    </row>
    <row r="497">
      <c r="N497" s="20"/>
    </row>
    <row r="498">
      <c r="N498" s="20"/>
    </row>
    <row r="499">
      <c r="N499" s="20"/>
    </row>
    <row r="500">
      <c r="N500" s="20"/>
    </row>
    <row r="501">
      <c r="N501" s="20"/>
    </row>
    <row r="502">
      <c r="N502" s="20"/>
    </row>
    <row r="503">
      <c r="N503" s="20"/>
    </row>
    <row r="504">
      <c r="N504" s="20"/>
    </row>
    <row r="505">
      <c r="N505" s="20"/>
    </row>
    <row r="506">
      <c r="N506" s="20"/>
    </row>
    <row r="507">
      <c r="N507" s="20"/>
    </row>
    <row r="508">
      <c r="N508" s="20"/>
    </row>
    <row r="509">
      <c r="N509" s="20"/>
    </row>
    <row r="510">
      <c r="N510" s="20"/>
    </row>
    <row r="511">
      <c r="N511" s="20"/>
    </row>
    <row r="512">
      <c r="N512" s="20"/>
    </row>
    <row r="513">
      <c r="N513" s="20"/>
    </row>
    <row r="514">
      <c r="N514" s="20"/>
    </row>
    <row r="515">
      <c r="N515" s="20"/>
    </row>
    <row r="516">
      <c r="N516" s="20"/>
    </row>
    <row r="517">
      <c r="N517" s="20"/>
    </row>
    <row r="518">
      <c r="N518" s="20"/>
    </row>
    <row r="519">
      <c r="N519" s="20"/>
    </row>
    <row r="520">
      <c r="N520" s="20"/>
    </row>
    <row r="521">
      <c r="N521" s="20"/>
    </row>
    <row r="522">
      <c r="N522" s="20"/>
    </row>
    <row r="523">
      <c r="N523" s="20"/>
    </row>
    <row r="524">
      <c r="N524" s="20"/>
    </row>
    <row r="525">
      <c r="N525" s="20"/>
    </row>
    <row r="526">
      <c r="N526" s="20"/>
    </row>
    <row r="527">
      <c r="N527" s="20"/>
    </row>
    <row r="528">
      <c r="N528" s="20"/>
    </row>
    <row r="529">
      <c r="N529" s="20"/>
    </row>
    <row r="530">
      <c r="N530" s="20"/>
    </row>
    <row r="531">
      <c r="N531" s="20"/>
    </row>
    <row r="532">
      <c r="N532" s="20"/>
    </row>
    <row r="533">
      <c r="N533" s="20"/>
    </row>
    <row r="534">
      <c r="N534" s="20"/>
    </row>
    <row r="535">
      <c r="N535" s="20"/>
    </row>
    <row r="536">
      <c r="N536" s="20"/>
    </row>
    <row r="537">
      <c r="N537" s="20"/>
    </row>
    <row r="538">
      <c r="N538" s="20"/>
    </row>
    <row r="539">
      <c r="N539" s="20"/>
    </row>
    <row r="540">
      <c r="N540" s="20"/>
    </row>
    <row r="541">
      <c r="N541" s="20"/>
    </row>
    <row r="542">
      <c r="N542" s="20"/>
    </row>
    <row r="543">
      <c r="N543" s="20"/>
    </row>
    <row r="544">
      <c r="N544" s="20"/>
    </row>
    <row r="545">
      <c r="N545" s="20"/>
    </row>
    <row r="546">
      <c r="N546" s="20"/>
    </row>
    <row r="547">
      <c r="N547" s="20"/>
    </row>
    <row r="548">
      <c r="N548" s="20"/>
    </row>
    <row r="549">
      <c r="N549" s="20"/>
    </row>
    <row r="550">
      <c r="N550" s="20"/>
    </row>
    <row r="551">
      <c r="N551" s="20"/>
    </row>
    <row r="552">
      <c r="N552" s="20"/>
    </row>
    <row r="553">
      <c r="N553" s="20"/>
    </row>
    <row r="554">
      <c r="N554" s="20"/>
    </row>
    <row r="555">
      <c r="N555" s="20"/>
    </row>
    <row r="556">
      <c r="N556" s="20"/>
    </row>
    <row r="557">
      <c r="N557" s="20"/>
    </row>
    <row r="558">
      <c r="N558" s="20"/>
    </row>
    <row r="559">
      <c r="N559" s="20"/>
    </row>
    <row r="560">
      <c r="N560" s="20"/>
    </row>
    <row r="561">
      <c r="N561" s="20"/>
    </row>
    <row r="562">
      <c r="N562" s="20"/>
    </row>
    <row r="563">
      <c r="N563" s="20"/>
    </row>
    <row r="564">
      <c r="N564" s="20"/>
    </row>
    <row r="565">
      <c r="N565" s="20"/>
    </row>
    <row r="566">
      <c r="N566" s="20"/>
    </row>
    <row r="567">
      <c r="N567" s="20"/>
    </row>
    <row r="568">
      <c r="N568" s="20"/>
    </row>
    <row r="569">
      <c r="N569" s="20"/>
    </row>
    <row r="570">
      <c r="N570" s="20"/>
    </row>
    <row r="571">
      <c r="N571" s="20"/>
    </row>
    <row r="572">
      <c r="N572" s="20"/>
    </row>
    <row r="573">
      <c r="N573" s="20"/>
    </row>
    <row r="574">
      <c r="N574" s="20"/>
    </row>
    <row r="575">
      <c r="N575" s="20"/>
    </row>
    <row r="576">
      <c r="N576" s="20"/>
    </row>
    <row r="577">
      <c r="N577" s="20"/>
    </row>
    <row r="578">
      <c r="N578" s="20"/>
    </row>
    <row r="579">
      <c r="N579" s="20"/>
    </row>
    <row r="580">
      <c r="N580" s="20"/>
    </row>
    <row r="581">
      <c r="N581" s="20"/>
    </row>
    <row r="582">
      <c r="N582" s="20"/>
    </row>
    <row r="583">
      <c r="N583" s="20"/>
    </row>
    <row r="584">
      <c r="N584" s="20"/>
    </row>
    <row r="585">
      <c r="N585" s="20"/>
    </row>
    <row r="586">
      <c r="N586" s="20"/>
    </row>
    <row r="587">
      <c r="N587" s="20"/>
    </row>
    <row r="588">
      <c r="N588" s="20"/>
    </row>
    <row r="589">
      <c r="N589" s="20"/>
    </row>
    <row r="590">
      <c r="N590" s="20"/>
    </row>
    <row r="591">
      <c r="N591" s="20"/>
    </row>
    <row r="592">
      <c r="N592" s="20"/>
    </row>
    <row r="593">
      <c r="N593" s="20"/>
    </row>
    <row r="594">
      <c r="N594" s="20"/>
    </row>
    <row r="595">
      <c r="N595" s="20"/>
    </row>
    <row r="596">
      <c r="N596" s="20"/>
    </row>
    <row r="597">
      <c r="N597" s="20"/>
    </row>
    <row r="598">
      <c r="N598" s="20"/>
    </row>
    <row r="599">
      <c r="N599" s="20"/>
    </row>
    <row r="600">
      <c r="N600" s="20"/>
    </row>
    <row r="601">
      <c r="N601" s="20"/>
    </row>
    <row r="602">
      <c r="N602" s="20"/>
    </row>
    <row r="603">
      <c r="N603" s="20"/>
    </row>
    <row r="604">
      <c r="N604" s="20"/>
    </row>
    <row r="605">
      <c r="N605" s="20"/>
    </row>
    <row r="606">
      <c r="N606" s="20"/>
    </row>
    <row r="607">
      <c r="N607" s="20"/>
    </row>
    <row r="608">
      <c r="N608" s="20"/>
    </row>
    <row r="609">
      <c r="N609" s="20"/>
    </row>
    <row r="610">
      <c r="N610" s="20"/>
    </row>
    <row r="611">
      <c r="N611" s="20"/>
    </row>
    <row r="612">
      <c r="N612" s="20"/>
    </row>
    <row r="613">
      <c r="N613" s="20"/>
    </row>
    <row r="614">
      <c r="N614" s="20"/>
    </row>
    <row r="615">
      <c r="N615" s="20"/>
    </row>
    <row r="616">
      <c r="N616" s="20"/>
    </row>
    <row r="617">
      <c r="N617" s="20"/>
    </row>
    <row r="618">
      <c r="N618" s="20"/>
    </row>
    <row r="619">
      <c r="N619" s="20"/>
    </row>
    <row r="620">
      <c r="N620" s="20"/>
    </row>
    <row r="621">
      <c r="N621" s="20"/>
    </row>
    <row r="622">
      <c r="N622" s="20"/>
    </row>
    <row r="623">
      <c r="N623" s="20"/>
    </row>
    <row r="624">
      <c r="N624" s="20"/>
    </row>
    <row r="625">
      <c r="N625" s="20"/>
    </row>
    <row r="626">
      <c r="N626" s="20"/>
    </row>
    <row r="627">
      <c r="N627" s="20"/>
    </row>
    <row r="628">
      <c r="N628" s="20"/>
    </row>
    <row r="629">
      <c r="N629" s="20"/>
    </row>
    <row r="630">
      <c r="N630" s="20"/>
    </row>
    <row r="631">
      <c r="N631" s="20"/>
    </row>
    <row r="632">
      <c r="N632" s="20"/>
    </row>
    <row r="633">
      <c r="N633" s="20"/>
    </row>
    <row r="634">
      <c r="N634" s="20"/>
    </row>
    <row r="635">
      <c r="N635" s="20"/>
    </row>
    <row r="636">
      <c r="N636" s="20"/>
    </row>
    <row r="637">
      <c r="N637" s="20"/>
    </row>
    <row r="638">
      <c r="N638" s="20"/>
    </row>
    <row r="639">
      <c r="N639" s="20"/>
    </row>
    <row r="640">
      <c r="N640" s="20"/>
    </row>
    <row r="641">
      <c r="N641" s="20"/>
    </row>
    <row r="642">
      <c r="N642" s="20"/>
    </row>
    <row r="643">
      <c r="N643" s="20"/>
    </row>
    <row r="644">
      <c r="N644" s="20"/>
    </row>
    <row r="645">
      <c r="N645" s="20"/>
    </row>
    <row r="646">
      <c r="N646" s="20"/>
    </row>
    <row r="647">
      <c r="N647" s="20"/>
    </row>
    <row r="648">
      <c r="N648" s="20"/>
    </row>
    <row r="649">
      <c r="N649" s="20"/>
    </row>
    <row r="650">
      <c r="N650" s="20"/>
    </row>
    <row r="651">
      <c r="N651" s="20"/>
    </row>
    <row r="652">
      <c r="N652" s="20"/>
    </row>
    <row r="653">
      <c r="N653" s="20"/>
    </row>
    <row r="654">
      <c r="N654" s="20"/>
    </row>
    <row r="655">
      <c r="N655" s="20"/>
    </row>
    <row r="656">
      <c r="N656" s="20"/>
    </row>
    <row r="657">
      <c r="N657" s="20"/>
    </row>
    <row r="658">
      <c r="N658" s="20"/>
    </row>
    <row r="659">
      <c r="N659" s="20"/>
    </row>
    <row r="660">
      <c r="N660" s="20"/>
    </row>
    <row r="661">
      <c r="N661" s="20"/>
    </row>
    <row r="662">
      <c r="N662" s="20"/>
    </row>
    <row r="663">
      <c r="N663" s="20"/>
    </row>
    <row r="664">
      <c r="N664" s="20"/>
    </row>
    <row r="665">
      <c r="N665" s="20"/>
    </row>
    <row r="666">
      <c r="N666" s="20"/>
    </row>
    <row r="667">
      <c r="N667" s="20"/>
    </row>
    <row r="668">
      <c r="N668" s="20"/>
    </row>
    <row r="669">
      <c r="N669" s="20"/>
    </row>
    <row r="670">
      <c r="N670" s="20"/>
    </row>
    <row r="671">
      <c r="N671" s="20"/>
    </row>
    <row r="672">
      <c r="N672" s="20"/>
    </row>
    <row r="673">
      <c r="N673" s="20"/>
    </row>
    <row r="674">
      <c r="N674" s="20"/>
    </row>
    <row r="675">
      <c r="N675" s="20"/>
    </row>
    <row r="676">
      <c r="N676" s="20"/>
    </row>
    <row r="677">
      <c r="N677" s="20"/>
    </row>
    <row r="678">
      <c r="N678" s="20"/>
    </row>
    <row r="679">
      <c r="N679" s="20"/>
    </row>
    <row r="680">
      <c r="N680" s="20"/>
    </row>
    <row r="681">
      <c r="N681" s="20"/>
    </row>
    <row r="682">
      <c r="N682" s="20"/>
    </row>
    <row r="683">
      <c r="N683" s="20"/>
    </row>
    <row r="684">
      <c r="N684" s="20"/>
    </row>
    <row r="685">
      <c r="N685" s="20"/>
    </row>
    <row r="686">
      <c r="N686" s="20"/>
    </row>
    <row r="687">
      <c r="N687" s="20"/>
    </row>
    <row r="688">
      <c r="N688" s="20"/>
    </row>
    <row r="689">
      <c r="N689" s="20"/>
    </row>
    <row r="690">
      <c r="N690" s="20"/>
    </row>
    <row r="691">
      <c r="N691" s="20"/>
    </row>
    <row r="692">
      <c r="N692" s="20"/>
    </row>
    <row r="693">
      <c r="N693" s="20"/>
    </row>
    <row r="694">
      <c r="N694" s="20"/>
    </row>
    <row r="695">
      <c r="N695" s="20"/>
    </row>
    <row r="696">
      <c r="N696" s="20"/>
    </row>
    <row r="697">
      <c r="N697" s="20"/>
    </row>
    <row r="698">
      <c r="N698" s="20"/>
    </row>
    <row r="699">
      <c r="N699" s="20"/>
    </row>
    <row r="700">
      <c r="N700" s="20"/>
    </row>
    <row r="701">
      <c r="N701" s="20"/>
    </row>
    <row r="702">
      <c r="N702" s="20"/>
    </row>
    <row r="703">
      <c r="N703" s="20"/>
    </row>
    <row r="704">
      <c r="N704" s="20"/>
    </row>
    <row r="705">
      <c r="N705" s="20"/>
    </row>
    <row r="706">
      <c r="N706" s="20"/>
    </row>
    <row r="707">
      <c r="N707" s="20"/>
    </row>
    <row r="708">
      <c r="N708" s="20"/>
    </row>
    <row r="709">
      <c r="N709" s="20"/>
    </row>
    <row r="710">
      <c r="N710" s="20"/>
    </row>
    <row r="711">
      <c r="N711" s="20"/>
    </row>
    <row r="712">
      <c r="N712" s="20"/>
    </row>
    <row r="713">
      <c r="N713" s="20"/>
    </row>
    <row r="714">
      <c r="N714" s="20"/>
    </row>
    <row r="715">
      <c r="N715" s="20"/>
    </row>
    <row r="716">
      <c r="N716" s="20"/>
    </row>
    <row r="717">
      <c r="N717" s="20"/>
    </row>
    <row r="718">
      <c r="N718" s="20"/>
    </row>
    <row r="719">
      <c r="N719" s="20"/>
    </row>
    <row r="720">
      <c r="N720" s="20"/>
    </row>
    <row r="721">
      <c r="N721" s="20"/>
    </row>
    <row r="722">
      <c r="N722" s="20"/>
    </row>
    <row r="723">
      <c r="N723" s="20"/>
    </row>
    <row r="724">
      <c r="N724" s="20"/>
    </row>
    <row r="725">
      <c r="N725" s="20"/>
    </row>
    <row r="726">
      <c r="N726" s="20"/>
    </row>
    <row r="727">
      <c r="N727" s="20"/>
    </row>
    <row r="728">
      <c r="N728" s="20"/>
    </row>
    <row r="729">
      <c r="N729" s="20"/>
    </row>
    <row r="730">
      <c r="N730" s="20"/>
    </row>
    <row r="731">
      <c r="N731" s="20"/>
    </row>
    <row r="732">
      <c r="N732" s="20"/>
    </row>
    <row r="733">
      <c r="N733" s="20"/>
    </row>
    <row r="734">
      <c r="N734" s="20"/>
    </row>
    <row r="735">
      <c r="N735" s="20"/>
    </row>
    <row r="736">
      <c r="N736" s="20"/>
    </row>
    <row r="737">
      <c r="N737" s="20"/>
    </row>
    <row r="738">
      <c r="N738" s="20"/>
    </row>
    <row r="739">
      <c r="N739" s="20"/>
    </row>
    <row r="740">
      <c r="N740" s="20"/>
    </row>
    <row r="741">
      <c r="N741" s="20"/>
    </row>
    <row r="742">
      <c r="N742" s="20"/>
    </row>
    <row r="743">
      <c r="N743" s="20"/>
    </row>
    <row r="744">
      <c r="N744" s="20"/>
    </row>
    <row r="745">
      <c r="N745" s="20"/>
    </row>
    <row r="746">
      <c r="N746" s="20"/>
    </row>
    <row r="747">
      <c r="N747" s="20"/>
    </row>
    <row r="748">
      <c r="N748" s="20"/>
    </row>
    <row r="749">
      <c r="N749" s="20"/>
    </row>
    <row r="750">
      <c r="N750" s="20"/>
    </row>
    <row r="751">
      <c r="N751" s="20"/>
    </row>
    <row r="752">
      <c r="N752" s="20"/>
    </row>
    <row r="753">
      <c r="N753" s="20"/>
    </row>
    <row r="754">
      <c r="N754" s="20"/>
    </row>
    <row r="755">
      <c r="N755" s="20"/>
    </row>
    <row r="756">
      <c r="N756" s="20"/>
    </row>
    <row r="757">
      <c r="N757" s="20"/>
    </row>
    <row r="758">
      <c r="N758" s="20"/>
    </row>
    <row r="759">
      <c r="N759" s="20"/>
    </row>
    <row r="760">
      <c r="N760" s="20"/>
    </row>
    <row r="761">
      <c r="N761" s="20"/>
    </row>
    <row r="762">
      <c r="N762" s="20"/>
    </row>
    <row r="763">
      <c r="N763" s="20"/>
    </row>
    <row r="764">
      <c r="N764" s="20"/>
    </row>
    <row r="765">
      <c r="N765" s="20"/>
    </row>
    <row r="766">
      <c r="N766" s="20"/>
    </row>
    <row r="767">
      <c r="N767" s="20"/>
    </row>
    <row r="768">
      <c r="N768" s="20"/>
    </row>
    <row r="769">
      <c r="N769" s="20"/>
    </row>
    <row r="770">
      <c r="N770" s="20"/>
    </row>
    <row r="771">
      <c r="N771" s="20"/>
    </row>
    <row r="772">
      <c r="N772" s="20"/>
    </row>
    <row r="773">
      <c r="N773" s="20"/>
    </row>
    <row r="774">
      <c r="N774" s="20"/>
    </row>
    <row r="775">
      <c r="N775" s="20"/>
    </row>
    <row r="776">
      <c r="N776" s="20"/>
    </row>
    <row r="777">
      <c r="N777" s="20"/>
    </row>
    <row r="778">
      <c r="N778" s="20"/>
    </row>
    <row r="779">
      <c r="N779" s="20"/>
    </row>
    <row r="780">
      <c r="N780" s="20"/>
    </row>
    <row r="781">
      <c r="N781" s="20"/>
    </row>
    <row r="782">
      <c r="N782" s="20"/>
    </row>
    <row r="783">
      <c r="N783" s="20"/>
    </row>
    <row r="784">
      <c r="N784" s="20"/>
    </row>
    <row r="785">
      <c r="N785" s="20"/>
    </row>
    <row r="786">
      <c r="N786" s="20"/>
    </row>
    <row r="787">
      <c r="N787" s="20"/>
    </row>
    <row r="788">
      <c r="N788" s="20"/>
    </row>
    <row r="789">
      <c r="N789" s="20"/>
    </row>
    <row r="790">
      <c r="N790" s="20"/>
    </row>
    <row r="791">
      <c r="N791" s="20"/>
    </row>
    <row r="792">
      <c r="N792" s="20"/>
    </row>
    <row r="793">
      <c r="N793" s="20"/>
    </row>
    <row r="794">
      <c r="N794" s="20"/>
    </row>
    <row r="795">
      <c r="N795" s="20"/>
    </row>
    <row r="796">
      <c r="N796" s="20"/>
    </row>
    <row r="797">
      <c r="N797" s="20"/>
    </row>
    <row r="798">
      <c r="N798" s="20"/>
    </row>
    <row r="799">
      <c r="N799" s="20"/>
    </row>
    <row r="800">
      <c r="N800" s="20"/>
    </row>
    <row r="801">
      <c r="N801" s="20"/>
    </row>
    <row r="802">
      <c r="N802" s="20"/>
    </row>
    <row r="803">
      <c r="N803" s="20"/>
    </row>
    <row r="804">
      <c r="N804" s="20"/>
    </row>
    <row r="805">
      <c r="N805" s="20"/>
    </row>
    <row r="806">
      <c r="N806" s="20"/>
    </row>
    <row r="807">
      <c r="N807" s="20"/>
    </row>
    <row r="808">
      <c r="N808" s="20"/>
    </row>
    <row r="809">
      <c r="N809" s="20"/>
    </row>
    <row r="810">
      <c r="N810" s="20"/>
    </row>
    <row r="811">
      <c r="N811" s="20"/>
    </row>
    <row r="812">
      <c r="N812" s="20"/>
    </row>
    <row r="813">
      <c r="N813" s="20"/>
    </row>
    <row r="814">
      <c r="N814" s="20"/>
    </row>
    <row r="815">
      <c r="N815" s="20"/>
    </row>
    <row r="816">
      <c r="N816" s="20"/>
    </row>
    <row r="817">
      <c r="N817" s="20"/>
    </row>
    <row r="818">
      <c r="N818" s="20"/>
    </row>
    <row r="819">
      <c r="N819" s="20"/>
    </row>
    <row r="820">
      <c r="N820" s="20"/>
    </row>
    <row r="821">
      <c r="N821" s="20"/>
    </row>
    <row r="822">
      <c r="N822" s="20"/>
    </row>
    <row r="823">
      <c r="N823" s="20"/>
    </row>
    <row r="824">
      <c r="N824" s="20"/>
    </row>
    <row r="825">
      <c r="N825" s="20"/>
    </row>
    <row r="826">
      <c r="N826" s="20"/>
    </row>
    <row r="827">
      <c r="N827" s="20"/>
    </row>
    <row r="828">
      <c r="N828" s="20"/>
    </row>
    <row r="829">
      <c r="N829" s="20"/>
    </row>
    <row r="830">
      <c r="N830" s="20"/>
    </row>
    <row r="831">
      <c r="N831" s="20"/>
    </row>
    <row r="832">
      <c r="N832" s="20"/>
    </row>
    <row r="833">
      <c r="N833" s="20"/>
    </row>
    <row r="834">
      <c r="N834" s="20"/>
    </row>
    <row r="835">
      <c r="N835" s="20"/>
    </row>
    <row r="836">
      <c r="N836" s="20"/>
    </row>
    <row r="837">
      <c r="N837" s="20"/>
    </row>
    <row r="838">
      <c r="N838" s="20"/>
    </row>
    <row r="839">
      <c r="N839" s="20"/>
    </row>
    <row r="840">
      <c r="N840" s="20"/>
    </row>
    <row r="841">
      <c r="N841" s="20"/>
    </row>
    <row r="842">
      <c r="N842" s="20"/>
    </row>
    <row r="843">
      <c r="N843" s="20"/>
    </row>
    <row r="844">
      <c r="N844" s="20"/>
    </row>
    <row r="845">
      <c r="N845" s="20"/>
    </row>
    <row r="846">
      <c r="N846" s="20"/>
    </row>
    <row r="847">
      <c r="N847" s="20"/>
    </row>
    <row r="848">
      <c r="N848" s="20"/>
    </row>
    <row r="849">
      <c r="N849" s="20"/>
    </row>
    <row r="850">
      <c r="N850" s="20"/>
    </row>
    <row r="851">
      <c r="N851" s="20"/>
    </row>
    <row r="852">
      <c r="N852" s="20"/>
    </row>
    <row r="853">
      <c r="N853" s="20"/>
    </row>
    <row r="854">
      <c r="N854" s="20"/>
    </row>
    <row r="855">
      <c r="N855" s="20"/>
    </row>
    <row r="856">
      <c r="N856" s="20"/>
    </row>
    <row r="857">
      <c r="N857" s="20"/>
    </row>
    <row r="858">
      <c r="N858" s="20"/>
    </row>
    <row r="859">
      <c r="N859" s="20"/>
    </row>
    <row r="860">
      <c r="N860" s="20"/>
    </row>
    <row r="861">
      <c r="N861" s="20"/>
    </row>
    <row r="862">
      <c r="N862" s="20"/>
    </row>
    <row r="863">
      <c r="N863" s="20"/>
    </row>
    <row r="864">
      <c r="N864" s="20"/>
    </row>
    <row r="865">
      <c r="N865" s="20"/>
    </row>
    <row r="866">
      <c r="N866" s="20"/>
    </row>
    <row r="867">
      <c r="N867" s="20"/>
    </row>
    <row r="868">
      <c r="N868" s="20"/>
    </row>
    <row r="869">
      <c r="N869" s="20"/>
    </row>
    <row r="870">
      <c r="N870" s="20"/>
    </row>
    <row r="871">
      <c r="N871" s="20"/>
    </row>
    <row r="872">
      <c r="N872" s="20"/>
    </row>
    <row r="873">
      <c r="N873" s="20"/>
    </row>
    <row r="874">
      <c r="N874" s="20"/>
    </row>
    <row r="875">
      <c r="N875" s="20"/>
    </row>
    <row r="876">
      <c r="N876" s="20"/>
    </row>
    <row r="877">
      <c r="N877" s="20"/>
    </row>
    <row r="878">
      <c r="N878" s="20"/>
    </row>
    <row r="879">
      <c r="N879" s="20"/>
    </row>
    <row r="880">
      <c r="N880" s="20"/>
    </row>
    <row r="881">
      <c r="N881" s="20"/>
    </row>
    <row r="882">
      <c r="N882" s="20"/>
    </row>
    <row r="883">
      <c r="N883" s="20"/>
    </row>
    <row r="884">
      <c r="N884" s="20"/>
    </row>
    <row r="885">
      <c r="N885" s="20"/>
    </row>
    <row r="886">
      <c r="N886" s="20"/>
    </row>
    <row r="887">
      <c r="N887" s="20"/>
    </row>
    <row r="888">
      <c r="N888" s="20"/>
    </row>
    <row r="889">
      <c r="N889" s="20"/>
    </row>
    <row r="890">
      <c r="N890" s="20"/>
    </row>
    <row r="891">
      <c r="N891" s="20"/>
    </row>
    <row r="892">
      <c r="N892" s="20"/>
    </row>
    <row r="893">
      <c r="N893" s="20"/>
    </row>
    <row r="894">
      <c r="N894" s="20"/>
    </row>
    <row r="895">
      <c r="N895" s="20"/>
    </row>
    <row r="896">
      <c r="N896" s="20"/>
    </row>
    <row r="897">
      <c r="N897" s="20"/>
    </row>
    <row r="898">
      <c r="N898" s="20"/>
    </row>
    <row r="899">
      <c r="N899" s="20"/>
    </row>
    <row r="900">
      <c r="N900" s="20"/>
    </row>
    <row r="901">
      <c r="N901" s="20"/>
    </row>
    <row r="902">
      <c r="N902" s="20"/>
    </row>
    <row r="903">
      <c r="N903" s="20"/>
    </row>
    <row r="904">
      <c r="N904" s="20"/>
    </row>
    <row r="905">
      <c r="N905" s="20"/>
    </row>
    <row r="906">
      <c r="N906" s="20"/>
    </row>
    <row r="907">
      <c r="N907" s="20"/>
    </row>
    <row r="908">
      <c r="N908" s="20"/>
    </row>
    <row r="909">
      <c r="N909" s="20"/>
    </row>
    <row r="910">
      <c r="N910" s="20"/>
    </row>
    <row r="911">
      <c r="N911" s="20"/>
    </row>
    <row r="912">
      <c r="N912" s="20"/>
    </row>
    <row r="913">
      <c r="N913" s="20"/>
    </row>
    <row r="914">
      <c r="N914" s="20"/>
    </row>
    <row r="915">
      <c r="N915" s="20"/>
    </row>
    <row r="916">
      <c r="N916" s="20"/>
    </row>
    <row r="917">
      <c r="N917" s="20"/>
    </row>
    <row r="918">
      <c r="N918" s="20"/>
    </row>
    <row r="919">
      <c r="N919" s="20"/>
    </row>
    <row r="920">
      <c r="N920" s="20"/>
    </row>
    <row r="921">
      <c r="N921" s="20"/>
    </row>
    <row r="922">
      <c r="N922" s="20"/>
    </row>
    <row r="923">
      <c r="N923" s="20"/>
    </row>
    <row r="924">
      <c r="N924" s="20"/>
    </row>
    <row r="925">
      <c r="N925" s="20"/>
    </row>
    <row r="926">
      <c r="N926" s="20"/>
    </row>
    <row r="927">
      <c r="N927" s="20"/>
    </row>
    <row r="928">
      <c r="N928" s="20"/>
    </row>
    <row r="929">
      <c r="N929" s="20"/>
    </row>
    <row r="930">
      <c r="N930" s="20"/>
    </row>
    <row r="931">
      <c r="N931" s="20"/>
    </row>
    <row r="932">
      <c r="N932" s="20"/>
    </row>
    <row r="933">
      <c r="N933" s="20"/>
    </row>
    <row r="934">
      <c r="N934" s="20"/>
    </row>
    <row r="935">
      <c r="N935" s="20"/>
    </row>
    <row r="936">
      <c r="N936" s="20"/>
    </row>
    <row r="937">
      <c r="N937" s="20"/>
    </row>
    <row r="938">
      <c r="N938" s="20"/>
    </row>
    <row r="939">
      <c r="N939" s="20"/>
    </row>
    <row r="940">
      <c r="N940" s="20"/>
    </row>
    <row r="941">
      <c r="N941" s="20"/>
    </row>
    <row r="942">
      <c r="N942" s="20"/>
    </row>
    <row r="943">
      <c r="N943" s="20"/>
    </row>
    <row r="944">
      <c r="N944" s="20"/>
    </row>
    <row r="945">
      <c r="N945" s="20"/>
    </row>
    <row r="946">
      <c r="N946" s="20"/>
    </row>
    <row r="947">
      <c r="N947" s="20"/>
    </row>
    <row r="948">
      <c r="N948" s="20"/>
    </row>
    <row r="949">
      <c r="N949" s="20"/>
    </row>
    <row r="950">
      <c r="N950" s="20"/>
    </row>
    <row r="951">
      <c r="N951" s="20"/>
    </row>
    <row r="952">
      <c r="N952" s="20"/>
    </row>
    <row r="953">
      <c r="N953" s="20"/>
    </row>
    <row r="954">
      <c r="N954" s="20"/>
    </row>
    <row r="955">
      <c r="N955" s="20"/>
    </row>
    <row r="956">
      <c r="N956" s="20"/>
    </row>
    <row r="957">
      <c r="N957" s="20"/>
    </row>
    <row r="958">
      <c r="N958" s="20"/>
    </row>
    <row r="959">
      <c r="N959" s="20"/>
    </row>
    <row r="960">
      <c r="N960" s="20"/>
    </row>
    <row r="961">
      <c r="N961" s="20"/>
    </row>
    <row r="962">
      <c r="N962" s="20"/>
    </row>
    <row r="963">
      <c r="N963" s="20"/>
    </row>
    <row r="964">
      <c r="N964" s="20"/>
    </row>
    <row r="965">
      <c r="N965" s="20"/>
    </row>
    <row r="966">
      <c r="N966" s="20"/>
    </row>
    <row r="967">
      <c r="N967" s="20"/>
    </row>
    <row r="968">
      <c r="N968" s="20"/>
    </row>
    <row r="969">
      <c r="N969" s="20"/>
    </row>
    <row r="970">
      <c r="N970" s="20"/>
    </row>
    <row r="971">
      <c r="N971" s="20"/>
    </row>
    <row r="972">
      <c r="N972" s="20"/>
    </row>
    <row r="973">
      <c r="N973" s="20"/>
    </row>
    <row r="974">
      <c r="N974" s="20"/>
    </row>
    <row r="975">
      <c r="N975" s="20"/>
    </row>
    <row r="976">
      <c r="N976" s="20"/>
    </row>
    <row r="977">
      <c r="N977" s="20"/>
    </row>
    <row r="978">
      <c r="N978" s="20"/>
    </row>
    <row r="979">
      <c r="N979" s="20"/>
    </row>
    <row r="980">
      <c r="N980" s="20"/>
    </row>
    <row r="981">
      <c r="N981" s="20"/>
    </row>
    <row r="982">
      <c r="N982" s="20"/>
    </row>
    <row r="983">
      <c r="N983" s="20"/>
    </row>
    <row r="984">
      <c r="N984" s="20"/>
    </row>
    <row r="985">
      <c r="N985" s="20"/>
    </row>
    <row r="986">
      <c r="N986" s="20"/>
    </row>
    <row r="987">
      <c r="N987" s="20"/>
    </row>
    <row r="988">
      <c r="N988" s="20"/>
    </row>
    <row r="989">
      <c r="N989" s="20"/>
    </row>
    <row r="990">
      <c r="N990" s="20"/>
    </row>
    <row r="991">
      <c r="N991" s="20"/>
    </row>
    <row r="992">
      <c r="N992" s="20"/>
    </row>
    <row r="993">
      <c r="N993" s="20"/>
    </row>
    <row r="994">
      <c r="N994" s="20"/>
    </row>
    <row r="995">
      <c r="N995" s="20"/>
    </row>
    <row r="996">
      <c r="N996" s="20"/>
    </row>
    <row r="997">
      <c r="N997" s="20"/>
    </row>
    <row r="998">
      <c r="N998" s="20"/>
    </row>
    <row r="999">
      <c r="N999" s="20"/>
    </row>
    <row r="1000">
      <c r="N1000" s="20"/>
    </row>
    <row r="1001">
      <c r="N1001" s="20"/>
    </row>
    <row r="1002">
      <c r="N1002" s="20"/>
    </row>
    <row r="1003">
      <c r="N1003" s="20"/>
    </row>
    <row r="1004">
      <c r="N1004" s="20"/>
    </row>
    <row r="1005">
      <c r="N1005" s="20"/>
    </row>
    <row r="1006">
      <c r="N1006" s="20"/>
    </row>
    <row r="1007">
      <c r="N1007" s="20"/>
    </row>
    <row r="1008">
      <c r="N1008" s="20"/>
    </row>
    <row r="1009">
      <c r="N1009" s="20"/>
    </row>
    <row r="1010">
      <c r="N101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32.25"/>
    <col customWidth="1" min="5" max="5" width="38.38"/>
    <col customWidth="1" min="6" max="6" width="10.5"/>
    <col customWidth="1" min="7" max="7" width="9.63"/>
    <col customWidth="1" min="8" max="8" width="26.25"/>
    <col customWidth="1" min="9" max="10" width="16.13"/>
    <col customWidth="1" min="11" max="12" width="9.88"/>
    <col customWidth="1" min="13" max="13" width="29.0"/>
    <col customWidth="1" min="18" max="18" width="23.75"/>
    <col customWidth="1" min="19" max="19" width="21.75"/>
  </cols>
  <sheetData>
    <row r="1">
      <c r="D1" s="1"/>
      <c r="I1" s="55"/>
      <c r="J1" s="55" t="s">
        <v>104</v>
      </c>
      <c r="R1" s="20"/>
    </row>
    <row r="2">
      <c r="D2" s="1"/>
      <c r="R2" s="20"/>
    </row>
    <row r="3">
      <c r="C3" s="55" t="s">
        <v>105</v>
      </c>
      <c r="D3" s="111"/>
      <c r="E3" s="56"/>
      <c r="F3" s="56"/>
      <c r="G3" s="56"/>
      <c r="H3" s="56" t="s">
        <v>86</v>
      </c>
      <c r="I3" s="57"/>
      <c r="J3" s="57">
        <v>0.15</v>
      </c>
      <c r="R3" s="58"/>
    </row>
    <row r="4">
      <c r="C4" s="55" t="s">
        <v>106</v>
      </c>
      <c r="D4" s="111"/>
      <c r="E4" s="56"/>
      <c r="F4" s="56"/>
      <c r="G4" s="56"/>
      <c r="H4" s="56" t="s">
        <v>87</v>
      </c>
      <c r="I4" s="57"/>
      <c r="J4" s="57">
        <v>0.6</v>
      </c>
      <c r="R4" s="58"/>
    </row>
    <row r="5">
      <c r="C5" s="55" t="s">
        <v>107</v>
      </c>
      <c r="D5" s="111"/>
      <c r="E5" s="56"/>
      <c r="F5" s="56"/>
      <c r="G5" s="56"/>
      <c r="H5" s="56" t="s">
        <v>88</v>
      </c>
      <c r="I5" s="57"/>
      <c r="J5" s="57">
        <v>0.25</v>
      </c>
      <c r="R5" s="58" t="s">
        <v>108</v>
      </c>
      <c r="T5" s="59">
        <v>6000000.0</v>
      </c>
    </row>
    <row r="6">
      <c r="D6" s="1"/>
      <c r="R6" s="58"/>
    </row>
    <row r="7">
      <c r="D7" s="1"/>
      <c r="H7" s="60">
        <f>SUM(H11:H22)</f>
        <v>401000</v>
      </c>
      <c r="I7" s="20">
        <f>H7/H8</f>
        <v>0.01336666667</v>
      </c>
      <c r="K7" s="55"/>
      <c r="L7" s="55" t="s">
        <v>109</v>
      </c>
      <c r="M7" s="61">
        <v>45413.0</v>
      </c>
      <c r="R7" s="58"/>
      <c r="W7" s="59"/>
    </row>
    <row r="8">
      <c r="D8" s="2"/>
      <c r="E8" s="55"/>
      <c r="F8" s="55"/>
      <c r="G8" s="55"/>
      <c r="H8" s="55">
        <v>3.0E7</v>
      </c>
      <c r="I8" s="20">
        <f>H7/T5</f>
        <v>0.06683333333</v>
      </c>
      <c r="M8" s="55" t="s">
        <v>110</v>
      </c>
      <c r="N8" s="55" t="s">
        <v>111</v>
      </c>
      <c r="Q8" s="55" t="s">
        <v>23</v>
      </c>
      <c r="R8" s="20"/>
      <c r="S8" s="55" t="s">
        <v>112</v>
      </c>
    </row>
    <row r="9">
      <c r="D9" s="1"/>
      <c r="I9" s="55"/>
      <c r="J9" s="55"/>
      <c r="K9" s="55"/>
      <c r="L9" s="55"/>
      <c r="M9" s="55" t="s">
        <v>104</v>
      </c>
      <c r="N9" s="62">
        <v>0.15</v>
      </c>
      <c r="O9" s="62">
        <v>0.6</v>
      </c>
      <c r="P9" s="62">
        <v>0.25</v>
      </c>
      <c r="Q9" s="63">
        <f>sum(Q11:Q34)</f>
        <v>77.1</v>
      </c>
      <c r="R9" s="20"/>
      <c r="S9" s="59">
        <v>1200000.0</v>
      </c>
    </row>
    <row r="10">
      <c r="A10" s="24"/>
      <c r="B10" s="64" t="s">
        <v>21</v>
      </c>
      <c r="C10" s="64" t="s">
        <v>22</v>
      </c>
      <c r="D10" s="15" t="s">
        <v>160</v>
      </c>
      <c r="E10" s="65" t="s">
        <v>161</v>
      </c>
      <c r="F10" s="65" t="s">
        <v>162</v>
      </c>
      <c r="G10" s="65" t="s">
        <v>163</v>
      </c>
      <c r="H10" s="65" t="s">
        <v>113</v>
      </c>
      <c r="I10" s="21" t="s">
        <v>114</v>
      </c>
      <c r="J10" s="21" t="s">
        <v>115</v>
      </c>
      <c r="K10" s="21" t="s">
        <v>116</v>
      </c>
      <c r="L10" s="21" t="s">
        <v>117</v>
      </c>
      <c r="M10" s="21" t="s">
        <v>118</v>
      </c>
      <c r="N10" s="21" t="s">
        <v>105</v>
      </c>
      <c r="O10" s="21" t="s">
        <v>106</v>
      </c>
      <c r="P10" s="21" t="s">
        <v>107</v>
      </c>
      <c r="Q10" s="21" t="s">
        <v>119</v>
      </c>
      <c r="R10" s="66" t="s">
        <v>120</v>
      </c>
      <c r="S10" s="112" t="s">
        <v>164</v>
      </c>
    </row>
    <row r="11">
      <c r="A11" s="32" t="s">
        <v>122</v>
      </c>
      <c r="B11" s="67">
        <v>1.0</v>
      </c>
      <c r="C11" s="68" t="s">
        <v>25</v>
      </c>
      <c r="D11" s="40" t="s">
        <v>165</v>
      </c>
      <c r="E11" s="113" t="s">
        <v>166</v>
      </c>
      <c r="F11" s="40" t="s">
        <v>167</v>
      </c>
      <c r="G11" s="113" t="s">
        <v>168</v>
      </c>
      <c r="H11" s="69">
        <v>60000.0</v>
      </c>
      <c r="I11" s="70">
        <v>5.0</v>
      </c>
      <c r="J11" s="71" t="s">
        <v>123</v>
      </c>
      <c r="K11" s="72">
        <v>42058.0</v>
      </c>
      <c r="L11" s="73">
        <v>42058.0</v>
      </c>
      <c r="M11" s="74">
        <f t="shared" ref="M11:M34" si="1">days(K11,$M$7)/-365</f>
        <v>9.191780822</v>
      </c>
      <c r="N11" s="71">
        <f>vlookup(M11,'Table for Factors'!$C$30:$D$35,2,true)</f>
        <v>4</v>
      </c>
      <c r="O11" s="71">
        <f>vlookup(I11,'Table for Factors'!$C$38:$D$43,2,false)</f>
        <v>5</v>
      </c>
      <c r="P11" s="70">
        <v>4.0</v>
      </c>
      <c r="Q11" s="24">
        <f t="shared" ref="Q11:Q34" si="2">SUMPRODUCT(N11:P11,$N$9:$P$9)</f>
        <v>4.6</v>
      </c>
      <c r="R11" s="75">
        <f t="shared" ref="R11:R34" si="3">Q11/$Q$9</f>
        <v>0.05966277562</v>
      </c>
      <c r="S11" s="76">
        <f t="shared" ref="S11:S34" si="4">R11*$S$9</f>
        <v>71595.33074</v>
      </c>
      <c r="U11" s="63">
        <f t="shared" ref="U11:U34" si="5">Q11/5*60000</f>
        <v>55200</v>
      </c>
      <c r="V11" s="20"/>
      <c r="W11" s="60"/>
    </row>
    <row r="12">
      <c r="A12" s="32" t="s">
        <v>124</v>
      </c>
      <c r="B12" s="67">
        <v>2.0</v>
      </c>
      <c r="C12" s="68" t="s">
        <v>27</v>
      </c>
      <c r="D12" s="40" t="s">
        <v>169</v>
      </c>
      <c r="E12" s="113" t="s">
        <v>170</v>
      </c>
      <c r="F12" s="40" t="s">
        <v>167</v>
      </c>
      <c r="G12" s="113" t="s">
        <v>171</v>
      </c>
      <c r="H12" s="69">
        <v>60000.0</v>
      </c>
      <c r="I12" s="70">
        <v>5.0</v>
      </c>
      <c r="J12" s="71" t="s">
        <v>125</v>
      </c>
      <c r="K12" s="72">
        <v>42060.0</v>
      </c>
      <c r="L12" s="73">
        <v>42060.0</v>
      </c>
      <c r="M12" s="74">
        <f t="shared" si="1"/>
        <v>9.18630137</v>
      </c>
      <c r="N12" s="71">
        <f>vlookup(M12,'Table for Factors'!$C$30:$D$35,2,true)</f>
        <v>4</v>
      </c>
      <c r="O12" s="71">
        <f>vlookup(I12,'Table for Factors'!$C$38:$D$43,2,false)</f>
        <v>5</v>
      </c>
      <c r="P12" s="70">
        <v>4.0</v>
      </c>
      <c r="Q12" s="24">
        <f t="shared" si="2"/>
        <v>4.6</v>
      </c>
      <c r="R12" s="75">
        <f t="shared" si="3"/>
        <v>0.05966277562</v>
      </c>
      <c r="S12" s="76">
        <f t="shared" si="4"/>
        <v>71595.33074</v>
      </c>
      <c r="U12" s="63">
        <f t="shared" si="5"/>
        <v>55200</v>
      </c>
      <c r="V12" s="20"/>
      <c r="W12" s="60"/>
    </row>
    <row r="13">
      <c r="A13" s="32" t="s">
        <v>126</v>
      </c>
      <c r="B13" s="67">
        <v>3.0</v>
      </c>
      <c r="C13" s="68" t="s">
        <v>29</v>
      </c>
      <c r="D13" s="40" t="s">
        <v>172</v>
      </c>
      <c r="E13" s="113" t="s">
        <v>173</v>
      </c>
      <c r="F13" s="40" t="s">
        <v>167</v>
      </c>
      <c r="G13" s="113" t="s">
        <v>174</v>
      </c>
      <c r="H13" s="69">
        <v>35000.0</v>
      </c>
      <c r="I13" s="70">
        <v>5.0</v>
      </c>
      <c r="J13" s="71" t="s">
        <v>123</v>
      </c>
      <c r="K13" s="72">
        <v>43283.0</v>
      </c>
      <c r="L13" s="73">
        <v>43283.0</v>
      </c>
      <c r="M13" s="74">
        <f t="shared" si="1"/>
        <v>5.835616438</v>
      </c>
      <c r="N13" s="71">
        <f>vlookup(M13,'Table for Factors'!$C$30:$D$35,2,true)</f>
        <v>2</v>
      </c>
      <c r="O13" s="71">
        <f>vlookup(I13,'Table for Factors'!$C$38:$D$43,2,false)</f>
        <v>5</v>
      </c>
      <c r="P13" s="70">
        <v>4.0</v>
      </c>
      <c r="Q13" s="24">
        <f t="shared" si="2"/>
        <v>4.3</v>
      </c>
      <c r="R13" s="75">
        <f t="shared" si="3"/>
        <v>0.05577172503</v>
      </c>
      <c r="S13" s="76">
        <f t="shared" si="4"/>
        <v>66926.07004</v>
      </c>
      <c r="U13" s="63">
        <f t="shared" si="5"/>
        <v>51600</v>
      </c>
      <c r="V13" s="20"/>
      <c r="W13" s="60"/>
    </row>
    <row r="14">
      <c r="A14" s="32" t="s">
        <v>126</v>
      </c>
      <c r="B14" s="67">
        <v>4.0</v>
      </c>
      <c r="C14" s="114" t="s">
        <v>31</v>
      </c>
      <c r="D14" s="40" t="s">
        <v>172</v>
      </c>
      <c r="E14" s="113" t="s">
        <v>175</v>
      </c>
      <c r="F14" s="40" t="s">
        <v>167</v>
      </c>
      <c r="G14" s="113" t="s">
        <v>176</v>
      </c>
      <c r="H14" s="69">
        <v>40000.0</v>
      </c>
      <c r="I14" s="70">
        <v>5.0</v>
      </c>
      <c r="J14" s="71" t="s">
        <v>123</v>
      </c>
      <c r="K14" s="72">
        <v>42681.0</v>
      </c>
      <c r="L14" s="73">
        <v>42681.0</v>
      </c>
      <c r="M14" s="74">
        <f t="shared" si="1"/>
        <v>7.484931507</v>
      </c>
      <c r="N14" s="71">
        <f>vlookup(M14,'Table for Factors'!$C$30:$D$35,2,true)</f>
        <v>3</v>
      </c>
      <c r="O14" s="71">
        <f>vlookup(I14,'Table for Factors'!$C$38:$D$43,2,false)</f>
        <v>5</v>
      </c>
      <c r="P14" s="70">
        <v>4.0</v>
      </c>
      <c r="Q14" s="24">
        <f t="shared" si="2"/>
        <v>4.45</v>
      </c>
      <c r="R14" s="75">
        <f t="shared" si="3"/>
        <v>0.05771725032</v>
      </c>
      <c r="S14" s="76">
        <f t="shared" si="4"/>
        <v>69260.70039</v>
      </c>
      <c r="U14" s="63">
        <f t="shared" si="5"/>
        <v>53400</v>
      </c>
      <c r="V14" s="20"/>
      <c r="W14" s="60"/>
    </row>
    <row r="15">
      <c r="A15" s="32" t="s">
        <v>128</v>
      </c>
      <c r="B15" s="67">
        <v>5.0</v>
      </c>
      <c r="C15" s="114" t="s">
        <v>177</v>
      </c>
      <c r="D15" s="40" t="s">
        <v>172</v>
      </c>
      <c r="E15" s="113" t="s">
        <v>178</v>
      </c>
      <c r="F15" s="40" t="s">
        <v>167</v>
      </c>
      <c r="G15" s="113" t="s">
        <v>179</v>
      </c>
      <c r="H15" s="69">
        <v>35000.0</v>
      </c>
      <c r="I15" s="70">
        <v>4.5</v>
      </c>
      <c r="J15" s="71" t="s">
        <v>129</v>
      </c>
      <c r="K15" s="72">
        <v>42961.0</v>
      </c>
      <c r="L15" s="73">
        <v>42961.0</v>
      </c>
      <c r="M15" s="74">
        <f t="shared" si="1"/>
        <v>6.717808219</v>
      </c>
      <c r="N15" s="71">
        <f>vlookup(M15,'Table for Factors'!$C$30:$D$35,2,true)</f>
        <v>2</v>
      </c>
      <c r="O15" s="71">
        <f>vlookup(I15,'Table for Factors'!$C$38:$D$43,2,false)</f>
        <v>3</v>
      </c>
      <c r="P15" s="70">
        <v>3.0</v>
      </c>
      <c r="Q15" s="24">
        <f t="shared" si="2"/>
        <v>2.85</v>
      </c>
      <c r="R15" s="75">
        <f t="shared" si="3"/>
        <v>0.03696498054</v>
      </c>
      <c r="S15" s="76">
        <f t="shared" si="4"/>
        <v>44357.97665</v>
      </c>
      <c r="U15" s="63">
        <f t="shared" si="5"/>
        <v>34200</v>
      </c>
      <c r="V15" s="20"/>
      <c r="W15" s="60"/>
    </row>
    <row r="16">
      <c r="A16" s="32" t="s">
        <v>126</v>
      </c>
      <c r="B16" s="67">
        <v>6.0</v>
      </c>
      <c r="C16" s="114" t="s">
        <v>34</v>
      </c>
      <c r="D16" s="40" t="s">
        <v>172</v>
      </c>
      <c r="E16" s="113" t="s">
        <v>180</v>
      </c>
      <c r="F16" s="40" t="s">
        <v>181</v>
      </c>
      <c r="G16" s="113" t="s">
        <v>182</v>
      </c>
      <c r="H16" s="69">
        <v>40000.0</v>
      </c>
      <c r="I16" s="70">
        <v>5.0</v>
      </c>
      <c r="J16" s="71" t="s">
        <v>123</v>
      </c>
      <c r="K16" s="72">
        <v>42979.0</v>
      </c>
      <c r="L16" s="73">
        <v>42979.0</v>
      </c>
      <c r="M16" s="74">
        <f t="shared" si="1"/>
        <v>6.668493151</v>
      </c>
      <c r="N16" s="71">
        <f>vlookup(M16,'Table for Factors'!$C$30:$D$35,2,true)</f>
        <v>2</v>
      </c>
      <c r="O16" s="71">
        <f>vlookup(I16,'Table for Factors'!$C$38:$D$43,2,false)</f>
        <v>5</v>
      </c>
      <c r="P16" s="70">
        <v>4.0</v>
      </c>
      <c r="Q16" s="24">
        <f t="shared" si="2"/>
        <v>4.3</v>
      </c>
      <c r="R16" s="75">
        <f t="shared" si="3"/>
        <v>0.05577172503</v>
      </c>
      <c r="S16" s="76">
        <f t="shared" si="4"/>
        <v>66926.07004</v>
      </c>
      <c r="U16" s="63">
        <f t="shared" si="5"/>
        <v>51600</v>
      </c>
      <c r="V16" s="20"/>
      <c r="W16" s="60"/>
    </row>
    <row r="17">
      <c r="A17" s="32" t="s">
        <v>128</v>
      </c>
      <c r="B17" s="67">
        <v>7.0</v>
      </c>
      <c r="C17" s="68" t="s">
        <v>36</v>
      </c>
      <c r="D17" s="40" t="s">
        <v>183</v>
      </c>
      <c r="E17" s="113" t="s">
        <v>184</v>
      </c>
      <c r="F17" s="40" t="s">
        <v>167</v>
      </c>
      <c r="G17" s="113" t="s">
        <v>185</v>
      </c>
      <c r="H17" s="69">
        <v>26000.0</v>
      </c>
      <c r="I17" s="70">
        <v>4.75</v>
      </c>
      <c r="J17" s="71" t="s">
        <v>131</v>
      </c>
      <c r="K17" s="72">
        <v>42626.0</v>
      </c>
      <c r="L17" s="73">
        <v>42626.0</v>
      </c>
      <c r="M17" s="74">
        <f t="shared" si="1"/>
        <v>7.635616438</v>
      </c>
      <c r="N17" s="71">
        <f>vlookup(M17,'Table for Factors'!$C$30:$D$35,2,true)</f>
        <v>3</v>
      </c>
      <c r="O17" s="71">
        <f>vlookup(I17,'Table for Factors'!$C$38:$D$43,2,false)</f>
        <v>4</v>
      </c>
      <c r="P17" s="70">
        <v>2.0</v>
      </c>
      <c r="Q17" s="24">
        <f t="shared" si="2"/>
        <v>3.35</v>
      </c>
      <c r="R17" s="75">
        <f t="shared" si="3"/>
        <v>0.04345006485</v>
      </c>
      <c r="S17" s="76">
        <f t="shared" si="4"/>
        <v>52140.07782</v>
      </c>
      <c r="U17" s="63">
        <f t="shared" si="5"/>
        <v>40200</v>
      </c>
      <c r="V17" s="20"/>
      <c r="W17" s="60"/>
    </row>
    <row r="18">
      <c r="A18" s="32" t="s">
        <v>126</v>
      </c>
      <c r="B18" s="67">
        <v>8.0</v>
      </c>
      <c r="C18" s="114" t="s">
        <v>39</v>
      </c>
      <c r="D18" s="40" t="s">
        <v>186</v>
      </c>
      <c r="E18" s="113" t="s">
        <v>187</v>
      </c>
      <c r="F18" s="40" t="s">
        <v>167</v>
      </c>
      <c r="G18" s="113" t="s">
        <v>188</v>
      </c>
      <c r="H18" s="69">
        <v>25000.0</v>
      </c>
      <c r="I18" s="70">
        <v>4.5</v>
      </c>
      <c r="J18" s="71" t="s">
        <v>129</v>
      </c>
      <c r="K18" s="72">
        <v>43769.0</v>
      </c>
      <c r="L18" s="73">
        <v>43769.0</v>
      </c>
      <c r="M18" s="74">
        <f t="shared" si="1"/>
        <v>4.504109589</v>
      </c>
      <c r="N18" s="71">
        <f>vlookup(M18,'Table for Factors'!$C$30:$D$35,2,true)</f>
        <v>2</v>
      </c>
      <c r="O18" s="71">
        <f>vlookup(I18,'Table for Factors'!$C$38:$D$43,2,false)</f>
        <v>3</v>
      </c>
      <c r="P18" s="70">
        <v>2.0</v>
      </c>
      <c r="Q18" s="24">
        <f t="shared" si="2"/>
        <v>2.6</v>
      </c>
      <c r="R18" s="75">
        <f t="shared" si="3"/>
        <v>0.03372243839</v>
      </c>
      <c r="S18" s="76">
        <f t="shared" si="4"/>
        <v>40466.92607</v>
      </c>
      <c r="U18" s="63">
        <f t="shared" si="5"/>
        <v>31200</v>
      </c>
      <c r="V18" s="20"/>
      <c r="W18" s="60"/>
    </row>
    <row r="19">
      <c r="A19" s="32" t="s">
        <v>126</v>
      </c>
      <c r="B19" s="67">
        <v>9.0</v>
      </c>
      <c r="C19" s="114" t="s">
        <v>43</v>
      </c>
      <c r="D19" s="40" t="s">
        <v>189</v>
      </c>
      <c r="E19" s="113" t="s">
        <v>166</v>
      </c>
      <c r="F19" s="40" t="s">
        <v>167</v>
      </c>
      <c r="G19" s="113" t="s">
        <v>190</v>
      </c>
      <c r="H19" s="69">
        <v>20000.0</v>
      </c>
      <c r="I19" s="70">
        <v>4.75</v>
      </c>
      <c r="J19" s="71" t="s">
        <v>131</v>
      </c>
      <c r="K19" s="72">
        <v>43009.0</v>
      </c>
      <c r="L19" s="73">
        <v>43009.0</v>
      </c>
      <c r="M19" s="74">
        <f t="shared" si="1"/>
        <v>6.58630137</v>
      </c>
      <c r="N19" s="71">
        <f>vlookup(M19,'Table for Factors'!$C$30:$D$35,2,true)</f>
        <v>2</v>
      </c>
      <c r="O19" s="71">
        <f>vlookup(I19,'Table for Factors'!$C$38:$D$43,2,false)</f>
        <v>4</v>
      </c>
      <c r="P19" s="70">
        <v>1.0</v>
      </c>
      <c r="Q19" s="24">
        <f t="shared" si="2"/>
        <v>2.95</v>
      </c>
      <c r="R19" s="75">
        <f t="shared" si="3"/>
        <v>0.03826199741</v>
      </c>
      <c r="S19" s="76">
        <f t="shared" si="4"/>
        <v>45914.39689</v>
      </c>
      <c r="U19" s="63">
        <f t="shared" si="5"/>
        <v>35400</v>
      </c>
      <c r="V19" s="20"/>
      <c r="W19" s="60"/>
    </row>
    <row r="20">
      <c r="A20" s="32" t="s">
        <v>124</v>
      </c>
      <c r="B20" s="67">
        <v>10.0</v>
      </c>
      <c r="C20" s="77" t="s">
        <v>45</v>
      </c>
      <c r="D20" s="40" t="s">
        <v>191</v>
      </c>
      <c r="E20" s="113" t="s">
        <v>192</v>
      </c>
      <c r="F20" s="40" t="s">
        <v>193</v>
      </c>
      <c r="G20" s="113" t="s">
        <v>194</v>
      </c>
      <c r="H20" s="69">
        <v>20000.0</v>
      </c>
      <c r="I20" s="70">
        <v>4.75</v>
      </c>
      <c r="J20" s="71" t="s">
        <v>131</v>
      </c>
      <c r="K20" s="72">
        <v>42499.0</v>
      </c>
      <c r="L20" s="78">
        <v>42499.0</v>
      </c>
      <c r="M20" s="74">
        <f t="shared" si="1"/>
        <v>7.983561644</v>
      </c>
      <c r="N20" s="71">
        <f>vlookup(M20,'Table for Factors'!$C$30:$D$35,2,true)</f>
        <v>3</v>
      </c>
      <c r="O20" s="71">
        <f>vlookup(I20,'Table for Factors'!$C$38:$D$43,2,false)</f>
        <v>4</v>
      </c>
      <c r="P20" s="70">
        <v>1.0</v>
      </c>
      <c r="Q20" s="24">
        <f t="shared" si="2"/>
        <v>3.1</v>
      </c>
      <c r="R20" s="75">
        <f t="shared" si="3"/>
        <v>0.0402075227</v>
      </c>
      <c r="S20" s="76">
        <f t="shared" si="4"/>
        <v>48249.02724</v>
      </c>
      <c r="U20" s="63">
        <f t="shared" si="5"/>
        <v>37200</v>
      </c>
      <c r="V20" s="20"/>
      <c r="W20" s="60"/>
    </row>
    <row r="21">
      <c r="A21" s="32" t="s">
        <v>134</v>
      </c>
      <c r="B21" s="67">
        <v>11.0</v>
      </c>
      <c r="C21" s="79" t="s">
        <v>47</v>
      </c>
      <c r="D21" s="40" t="s">
        <v>195</v>
      </c>
      <c r="E21" s="113" t="s">
        <v>196</v>
      </c>
      <c r="F21" s="40" t="s">
        <v>167</v>
      </c>
      <c r="G21" s="113" t="s">
        <v>197</v>
      </c>
      <c r="H21" s="69">
        <v>20000.0</v>
      </c>
      <c r="I21" s="70">
        <v>4.5</v>
      </c>
      <c r="J21" s="71" t="s">
        <v>129</v>
      </c>
      <c r="K21" s="72">
        <v>43339.0</v>
      </c>
      <c r="L21" s="73">
        <v>43339.0</v>
      </c>
      <c r="M21" s="74">
        <f t="shared" si="1"/>
        <v>5.682191781</v>
      </c>
      <c r="N21" s="71">
        <f>vlookup(M21,'Table for Factors'!$C$30:$D$35,2,true)</f>
        <v>2</v>
      </c>
      <c r="O21" s="71">
        <f>vlookup(I21,'Table for Factors'!$C$38:$D$43,2,false)</f>
        <v>3</v>
      </c>
      <c r="P21" s="70">
        <v>2.0</v>
      </c>
      <c r="Q21" s="24">
        <f t="shared" si="2"/>
        <v>2.6</v>
      </c>
      <c r="R21" s="75">
        <f t="shared" si="3"/>
        <v>0.03372243839</v>
      </c>
      <c r="S21" s="76">
        <f t="shared" si="4"/>
        <v>40466.92607</v>
      </c>
      <c r="U21" s="63">
        <f t="shared" si="5"/>
        <v>31200</v>
      </c>
      <c r="V21" s="20"/>
      <c r="W21" s="60"/>
    </row>
    <row r="22">
      <c r="A22" s="32" t="s">
        <v>122</v>
      </c>
      <c r="B22" s="67">
        <v>12.0</v>
      </c>
      <c r="C22" s="79" t="s">
        <v>49</v>
      </c>
      <c r="D22" s="40" t="s">
        <v>198</v>
      </c>
      <c r="E22" s="113" t="s">
        <v>199</v>
      </c>
      <c r="F22" s="40" t="s">
        <v>167</v>
      </c>
      <c r="G22" s="113" t="s">
        <v>200</v>
      </c>
      <c r="H22" s="69">
        <v>20000.0</v>
      </c>
      <c r="I22" s="70">
        <v>5.0</v>
      </c>
      <c r="J22" s="71" t="s">
        <v>123</v>
      </c>
      <c r="K22" s="72">
        <v>43011.0</v>
      </c>
      <c r="L22" s="73">
        <v>43011.0</v>
      </c>
      <c r="M22" s="74">
        <f t="shared" si="1"/>
        <v>6.580821918</v>
      </c>
      <c r="N22" s="71">
        <f>vlookup(M22,'Table for Factors'!$C$30:$D$35,2,true)</f>
        <v>2</v>
      </c>
      <c r="O22" s="71">
        <f>vlookup(I22,'Table for Factors'!$C$38:$D$43,2,false)</f>
        <v>5</v>
      </c>
      <c r="P22" s="70">
        <v>1.0</v>
      </c>
      <c r="Q22" s="24">
        <f t="shared" si="2"/>
        <v>3.55</v>
      </c>
      <c r="R22" s="75">
        <f t="shared" si="3"/>
        <v>0.04604409857</v>
      </c>
      <c r="S22" s="76">
        <f t="shared" si="4"/>
        <v>55252.91829</v>
      </c>
      <c r="U22" s="63">
        <f t="shared" si="5"/>
        <v>42600</v>
      </c>
      <c r="V22" s="20"/>
      <c r="W22" s="60"/>
    </row>
    <row r="23">
      <c r="A23" s="32" t="s">
        <v>124</v>
      </c>
      <c r="B23" s="67">
        <v>13.0</v>
      </c>
      <c r="C23" s="71" t="s">
        <v>51</v>
      </c>
      <c r="D23" s="115" t="s">
        <v>201</v>
      </c>
      <c r="E23" s="116" t="s">
        <v>202</v>
      </c>
      <c r="F23" s="115" t="s">
        <v>181</v>
      </c>
      <c r="G23" s="71" t="s">
        <v>203</v>
      </c>
      <c r="H23" s="82"/>
      <c r="I23" s="70">
        <v>4.75</v>
      </c>
      <c r="J23" s="71" t="s">
        <v>131</v>
      </c>
      <c r="K23" s="72">
        <v>43556.0</v>
      </c>
      <c r="L23" s="73">
        <v>43556.0</v>
      </c>
      <c r="M23" s="74">
        <f t="shared" si="1"/>
        <v>5.087671233</v>
      </c>
      <c r="N23" s="71">
        <f>vlookup(M23,'Table for Factors'!$C$30:$D$35,2,true)</f>
        <v>2</v>
      </c>
      <c r="O23" s="71">
        <f>vlookup(I23,'Table for Factors'!$C$38:$D$43,2,false)</f>
        <v>4</v>
      </c>
      <c r="P23" s="70">
        <v>1.0</v>
      </c>
      <c r="Q23" s="24">
        <f t="shared" si="2"/>
        <v>2.95</v>
      </c>
      <c r="R23" s="75">
        <f t="shared" si="3"/>
        <v>0.03826199741</v>
      </c>
      <c r="S23" s="76">
        <f t="shared" si="4"/>
        <v>45914.39689</v>
      </c>
      <c r="U23" s="63">
        <f t="shared" si="5"/>
        <v>35400</v>
      </c>
      <c r="V23" s="20"/>
      <c r="W23" s="60"/>
    </row>
    <row r="24">
      <c r="A24" s="32" t="s">
        <v>124</v>
      </c>
      <c r="B24" s="67">
        <v>14.0</v>
      </c>
      <c r="C24" s="71" t="s">
        <v>53</v>
      </c>
      <c r="D24" s="115" t="s">
        <v>191</v>
      </c>
      <c r="E24" s="116" t="s">
        <v>204</v>
      </c>
      <c r="F24" s="115" t="s">
        <v>181</v>
      </c>
      <c r="G24" s="71">
        <v>9.51201065817E11</v>
      </c>
      <c r="H24" s="82"/>
      <c r="I24" s="70">
        <v>4.75</v>
      </c>
      <c r="J24" s="71" t="s">
        <v>131</v>
      </c>
      <c r="K24" s="72">
        <v>43578.0</v>
      </c>
      <c r="L24" s="73">
        <v>43578.0</v>
      </c>
      <c r="M24" s="74">
        <f t="shared" si="1"/>
        <v>5.02739726</v>
      </c>
      <c r="N24" s="71">
        <f>vlookup(M24,'Table for Factors'!$C$30:$D$35,2,true)</f>
        <v>2</v>
      </c>
      <c r="O24" s="71">
        <f>vlookup(I24,'Table for Factors'!$C$38:$D$43,2,false)</f>
        <v>4</v>
      </c>
      <c r="P24" s="70">
        <v>1.0</v>
      </c>
      <c r="Q24" s="24">
        <f t="shared" si="2"/>
        <v>2.95</v>
      </c>
      <c r="R24" s="75">
        <f t="shared" si="3"/>
        <v>0.03826199741</v>
      </c>
      <c r="S24" s="76">
        <f t="shared" si="4"/>
        <v>45914.39689</v>
      </c>
      <c r="U24" s="63">
        <f t="shared" si="5"/>
        <v>35400</v>
      </c>
      <c r="V24" s="20"/>
      <c r="W24" s="60"/>
    </row>
    <row r="25">
      <c r="A25" s="32" t="s">
        <v>139</v>
      </c>
      <c r="B25" s="67">
        <v>15.0</v>
      </c>
      <c r="C25" s="81" t="s">
        <v>55</v>
      </c>
      <c r="D25" s="115" t="s">
        <v>205</v>
      </c>
      <c r="E25" s="116" t="s">
        <v>206</v>
      </c>
      <c r="F25" s="115" t="s">
        <v>167</v>
      </c>
      <c r="G25" s="71" t="s">
        <v>207</v>
      </c>
      <c r="H25" s="82"/>
      <c r="I25" s="70">
        <v>4.5</v>
      </c>
      <c r="J25" s="82"/>
      <c r="K25" s="72">
        <v>43770.0</v>
      </c>
      <c r="L25" s="73">
        <v>43770.0</v>
      </c>
      <c r="M25" s="74">
        <f t="shared" si="1"/>
        <v>4.501369863</v>
      </c>
      <c r="N25" s="71">
        <f>vlookup(M25,'Table for Factors'!$C$30:$D$35,2,true)</f>
        <v>2</v>
      </c>
      <c r="O25" s="71">
        <f>vlookup(I25,'Table for Factors'!$C$38:$D$43,2,false)</f>
        <v>3</v>
      </c>
      <c r="P25" s="70">
        <v>1.0</v>
      </c>
      <c r="Q25" s="24">
        <f t="shared" si="2"/>
        <v>2.35</v>
      </c>
      <c r="R25" s="75">
        <f t="shared" si="3"/>
        <v>0.03047989624</v>
      </c>
      <c r="S25" s="76">
        <f t="shared" si="4"/>
        <v>36575.87549</v>
      </c>
      <c r="U25" s="63">
        <f t="shared" si="5"/>
        <v>28200</v>
      </c>
      <c r="V25" s="20"/>
      <c r="W25" s="60"/>
    </row>
    <row r="26">
      <c r="A26" s="32" t="s">
        <v>139</v>
      </c>
      <c r="B26" s="67">
        <v>16.0</v>
      </c>
      <c r="C26" s="81" t="s">
        <v>57</v>
      </c>
      <c r="D26" s="115" t="s">
        <v>208</v>
      </c>
      <c r="E26" s="116" t="s">
        <v>209</v>
      </c>
      <c r="F26" s="115" t="s">
        <v>167</v>
      </c>
      <c r="G26" s="71" t="s">
        <v>210</v>
      </c>
      <c r="H26" s="82"/>
      <c r="I26" s="70">
        <v>4.5</v>
      </c>
      <c r="J26" s="82"/>
      <c r="K26" s="72">
        <v>41596.0</v>
      </c>
      <c r="L26" s="73">
        <v>41596.0</v>
      </c>
      <c r="M26" s="74">
        <f t="shared" si="1"/>
        <v>10.45753425</v>
      </c>
      <c r="N26" s="71">
        <f>vlookup(M26,'Table for Factors'!$C$30:$D$35,2,true)</f>
        <v>4</v>
      </c>
      <c r="O26" s="71">
        <f>vlookup(I26,'Table for Factors'!$C$38:$D$43,2,false)</f>
        <v>3</v>
      </c>
      <c r="P26" s="70">
        <v>1.0</v>
      </c>
      <c r="Q26" s="24">
        <f t="shared" si="2"/>
        <v>2.65</v>
      </c>
      <c r="R26" s="75">
        <f t="shared" si="3"/>
        <v>0.03437094682</v>
      </c>
      <c r="S26" s="76">
        <f t="shared" si="4"/>
        <v>41245.13619</v>
      </c>
      <c r="U26" s="63">
        <f t="shared" si="5"/>
        <v>31800</v>
      </c>
      <c r="V26" s="20"/>
      <c r="W26" s="60"/>
    </row>
    <row r="27">
      <c r="A27" s="32" t="s">
        <v>139</v>
      </c>
      <c r="B27" s="67">
        <v>17.0</v>
      </c>
      <c r="C27" s="81" t="s">
        <v>59</v>
      </c>
      <c r="D27" s="115" t="s">
        <v>211</v>
      </c>
      <c r="E27" s="116" t="s">
        <v>212</v>
      </c>
      <c r="F27" s="115" t="s">
        <v>167</v>
      </c>
      <c r="G27" s="71" t="s">
        <v>213</v>
      </c>
      <c r="H27" s="82"/>
      <c r="I27" s="70">
        <v>4.5</v>
      </c>
      <c r="J27" s="82"/>
      <c r="K27" s="83">
        <v>43570.0</v>
      </c>
      <c r="L27" s="84">
        <v>43570.0</v>
      </c>
      <c r="M27" s="74">
        <f t="shared" si="1"/>
        <v>5.049315068</v>
      </c>
      <c r="N27" s="71">
        <f>vlookup(M27,'Table for Factors'!$C$30:$D$35,2,true)</f>
        <v>2</v>
      </c>
      <c r="O27" s="71">
        <f>vlookup(I27,'Table for Factors'!$C$38:$D$43,2,false)</f>
        <v>3</v>
      </c>
      <c r="P27" s="70">
        <v>2.0</v>
      </c>
      <c r="Q27" s="24">
        <f t="shared" si="2"/>
        <v>2.6</v>
      </c>
      <c r="R27" s="75">
        <f t="shared" si="3"/>
        <v>0.03372243839</v>
      </c>
      <c r="S27" s="76">
        <f t="shared" si="4"/>
        <v>40466.92607</v>
      </c>
      <c r="U27" s="63">
        <f t="shared" si="5"/>
        <v>31200</v>
      </c>
      <c r="V27" s="20"/>
      <c r="W27" s="60"/>
    </row>
    <row r="28">
      <c r="A28" s="32" t="s">
        <v>139</v>
      </c>
      <c r="B28" s="67">
        <v>18.0</v>
      </c>
      <c r="C28" s="85" t="s">
        <v>61</v>
      </c>
      <c r="D28" s="115" t="s">
        <v>214</v>
      </c>
      <c r="E28" s="117" t="s">
        <v>215</v>
      </c>
      <c r="F28" s="115" t="s">
        <v>167</v>
      </c>
      <c r="G28" s="71" t="s">
        <v>216</v>
      </c>
      <c r="H28" s="82"/>
      <c r="I28" s="70">
        <v>4.0</v>
      </c>
      <c r="J28" s="82"/>
      <c r="K28" s="83">
        <v>42814.0</v>
      </c>
      <c r="L28" s="84">
        <v>42814.0</v>
      </c>
      <c r="M28" s="74">
        <f t="shared" si="1"/>
        <v>7.120547945</v>
      </c>
      <c r="N28" s="71">
        <f>vlookup(M28,'Table for Factors'!$C$30:$D$35,2,true)</f>
        <v>3</v>
      </c>
      <c r="O28" s="71">
        <f>vlookup(I28,'Table for Factors'!$C$38:$D$43,2,false)</f>
        <v>2</v>
      </c>
      <c r="P28" s="70">
        <v>1.0</v>
      </c>
      <c r="Q28" s="24">
        <f t="shared" si="2"/>
        <v>1.9</v>
      </c>
      <c r="R28" s="75">
        <f t="shared" si="3"/>
        <v>0.02464332036</v>
      </c>
      <c r="S28" s="76">
        <f t="shared" si="4"/>
        <v>29571.98444</v>
      </c>
      <c r="U28" s="63">
        <f t="shared" si="5"/>
        <v>22800</v>
      </c>
      <c r="V28" s="20"/>
      <c r="W28" s="60"/>
    </row>
    <row r="29">
      <c r="A29" s="32" t="s">
        <v>139</v>
      </c>
      <c r="B29" s="67">
        <v>19.0</v>
      </c>
      <c r="C29" s="85" t="s">
        <v>63</v>
      </c>
      <c r="D29" s="115" t="s">
        <v>183</v>
      </c>
      <c r="E29" s="116" t="s">
        <v>217</v>
      </c>
      <c r="F29" s="115" t="s">
        <v>167</v>
      </c>
      <c r="G29" s="71" t="s">
        <v>218</v>
      </c>
      <c r="H29" s="82"/>
      <c r="I29" s="70">
        <v>4.5</v>
      </c>
      <c r="J29" s="82"/>
      <c r="K29" s="72">
        <v>42065.0</v>
      </c>
      <c r="L29" s="73">
        <v>42065.0</v>
      </c>
      <c r="M29" s="74">
        <f t="shared" si="1"/>
        <v>9.17260274</v>
      </c>
      <c r="N29" s="71">
        <f>vlookup(M29,'Table for Factors'!$C$30:$D$35,2,true)</f>
        <v>4</v>
      </c>
      <c r="O29" s="71">
        <f>vlookup(I29,'Table for Factors'!$C$38:$D$43,2,false)</f>
        <v>3</v>
      </c>
      <c r="P29" s="70">
        <v>1.0</v>
      </c>
      <c r="Q29" s="24">
        <f t="shared" si="2"/>
        <v>2.65</v>
      </c>
      <c r="R29" s="75">
        <f t="shared" si="3"/>
        <v>0.03437094682</v>
      </c>
      <c r="S29" s="76">
        <f t="shared" si="4"/>
        <v>41245.13619</v>
      </c>
      <c r="U29" s="63">
        <f t="shared" si="5"/>
        <v>31800</v>
      </c>
      <c r="V29" s="20"/>
      <c r="W29" s="60"/>
    </row>
    <row r="30">
      <c r="A30" s="32" t="s">
        <v>128</v>
      </c>
      <c r="B30" s="67">
        <v>20.0</v>
      </c>
      <c r="C30" s="71" t="s">
        <v>65</v>
      </c>
      <c r="D30" s="115" t="s">
        <v>183</v>
      </c>
      <c r="E30" s="116" t="s">
        <v>219</v>
      </c>
      <c r="F30" s="115" t="s">
        <v>167</v>
      </c>
      <c r="G30" s="71" t="s">
        <v>220</v>
      </c>
      <c r="H30" s="82"/>
      <c r="I30" s="70">
        <v>4.75</v>
      </c>
      <c r="J30" s="71" t="s">
        <v>131</v>
      </c>
      <c r="K30" s="86">
        <v>43600.0</v>
      </c>
      <c r="L30" s="78">
        <v>43600.0</v>
      </c>
      <c r="M30" s="74">
        <f t="shared" si="1"/>
        <v>4.967123288</v>
      </c>
      <c r="N30" s="71">
        <f>vlookup(M30,'Table for Factors'!$C$30:$D$35,2,true)</f>
        <v>2</v>
      </c>
      <c r="O30" s="71">
        <f>vlookup(I30,'Table for Factors'!$C$38:$D$43,2,false)</f>
        <v>4</v>
      </c>
      <c r="P30" s="70">
        <v>1.0</v>
      </c>
      <c r="Q30" s="24">
        <f t="shared" si="2"/>
        <v>2.95</v>
      </c>
      <c r="R30" s="75">
        <f t="shared" si="3"/>
        <v>0.03826199741</v>
      </c>
      <c r="S30" s="76">
        <f t="shared" si="4"/>
        <v>45914.39689</v>
      </c>
      <c r="U30" s="63">
        <f t="shared" si="5"/>
        <v>35400</v>
      </c>
      <c r="V30" s="20"/>
      <c r="W30" s="60"/>
    </row>
    <row r="31">
      <c r="A31" s="32" t="s">
        <v>126</v>
      </c>
      <c r="B31" s="67">
        <v>21.0</v>
      </c>
      <c r="C31" s="71" t="s">
        <v>67</v>
      </c>
      <c r="D31" s="115" t="s">
        <v>189</v>
      </c>
      <c r="E31" s="116" t="s">
        <v>221</v>
      </c>
      <c r="F31" s="115" t="s">
        <v>167</v>
      </c>
      <c r="G31" s="71" t="s">
        <v>222</v>
      </c>
      <c r="H31" s="82"/>
      <c r="I31" s="70">
        <v>5.0</v>
      </c>
      <c r="J31" s="71" t="s">
        <v>123</v>
      </c>
      <c r="K31" s="87">
        <v>43717.0</v>
      </c>
      <c r="L31" s="73">
        <v>43717.0</v>
      </c>
      <c r="M31" s="74">
        <f t="shared" si="1"/>
        <v>4.646575342</v>
      </c>
      <c r="N31" s="71">
        <f>vlookup(M31,'Table for Factors'!$C$30:$D$35,2,true)</f>
        <v>2</v>
      </c>
      <c r="O31" s="71">
        <f>vlookup(I31,'Table for Factors'!$C$38:$D$43,2,false)</f>
        <v>5</v>
      </c>
      <c r="P31" s="70">
        <v>3.0</v>
      </c>
      <c r="Q31" s="24">
        <f t="shared" si="2"/>
        <v>4.05</v>
      </c>
      <c r="R31" s="75">
        <f t="shared" si="3"/>
        <v>0.05252918288</v>
      </c>
      <c r="S31" s="76">
        <f t="shared" si="4"/>
        <v>63035.01946</v>
      </c>
      <c r="U31" s="63">
        <f t="shared" si="5"/>
        <v>48600</v>
      </c>
      <c r="V31" s="20"/>
      <c r="W31" s="60"/>
    </row>
    <row r="32">
      <c r="A32" s="32" t="s">
        <v>126</v>
      </c>
      <c r="B32" s="67">
        <v>22.0</v>
      </c>
      <c r="C32" s="71" t="s">
        <v>69</v>
      </c>
      <c r="D32" s="115" t="s">
        <v>211</v>
      </c>
      <c r="E32" s="116" t="s">
        <v>223</v>
      </c>
      <c r="F32" s="115" t="s">
        <v>224</v>
      </c>
      <c r="G32" s="71" t="s">
        <v>225</v>
      </c>
      <c r="H32" s="82"/>
      <c r="I32" s="70">
        <v>4.5</v>
      </c>
      <c r="J32" s="71" t="s">
        <v>129</v>
      </c>
      <c r="K32" s="88">
        <v>43773.0</v>
      </c>
      <c r="L32" s="84">
        <v>43773.0</v>
      </c>
      <c r="M32" s="89">
        <f t="shared" si="1"/>
        <v>4.493150685</v>
      </c>
      <c r="N32" s="71">
        <f>vlookup(M32,'Table for Factors'!$C$30:$D$35,2,true)</f>
        <v>2</v>
      </c>
      <c r="O32" s="71">
        <f>vlookup(I32,'Table for Factors'!$C$38:$D$43,2,false)</f>
        <v>3</v>
      </c>
      <c r="P32" s="70">
        <v>1.0</v>
      </c>
      <c r="Q32" s="24">
        <f t="shared" si="2"/>
        <v>2.35</v>
      </c>
      <c r="R32" s="75">
        <f t="shared" si="3"/>
        <v>0.03047989624</v>
      </c>
      <c r="S32" s="76">
        <f t="shared" si="4"/>
        <v>36575.87549</v>
      </c>
      <c r="U32" s="63">
        <f t="shared" si="5"/>
        <v>28200</v>
      </c>
      <c r="V32" s="20"/>
      <c r="W32" s="60"/>
      <c r="AG32" s="55" t="s">
        <v>145</v>
      </c>
      <c r="AJ32" s="55" t="s">
        <v>146</v>
      </c>
      <c r="AM32" s="90" t="s">
        <v>147</v>
      </c>
    </row>
    <row r="33">
      <c r="A33" s="32" t="s">
        <v>126</v>
      </c>
      <c r="B33" s="67">
        <v>23.0</v>
      </c>
      <c r="C33" s="71" t="s">
        <v>71</v>
      </c>
      <c r="D33" s="115" t="s">
        <v>189</v>
      </c>
      <c r="E33" s="116" t="s">
        <v>226</v>
      </c>
      <c r="F33" s="115" t="s">
        <v>167</v>
      </c>
      <c r="G33" s="71" t="s">
        <v>227</v>
      </c>
      <c r="H33" s="82"/>
      <c r="I33" s="70">
        <v>5.0</v>
      </c>
      <c r="J33" s="71" t="s">
        <v>123</v>
      </c>
      <c r="K33" s="91">
        <v>44088.0</v>
      </c>
      <c r="L33" s="84">
        <v>44088.0</v>
      </c>
      <c r="M33" s="74">
        <f t="shared" si="1"/>
        <v>3.630136986</v>
      </c>
      <c r="N33" s="71">
        <f>vlookup(M33,'Table for Factors'!$C$30:$D$35,2,true)</f>
        <v>1</v>
      </c>
      <c r="O33" s="71">
        <f>vlookup(I33,'Table for Factors'!$C$38:$D$43,2,false)</f>
        <v>5</v>
      </c>
      <c r="P33" s="70">
        <v>2.0</v>
      </c>
      <c r="Q33" s="24">
        <f t="shared" si="2"/>
        <v>3.65</v>
      </c>
      <c r="R33" s="75">
        <f t="shared" si="3"/>
        <v>0.04734111543</v>
      </c>
      <c r="S33" s="76">
        <f t="shared" si="4"/>
        <v>56809.33852</v>
      </c>
      <c r="U33" s="63">
        <f t="shared" si="5"/>
        <v>43800</v>
      </c>
      <c r="V33" s="20"/>
      <c r="W33" s="60"/>
      <c r="AG33" s="55" t="s">
        <v>149</v>
      </c>
      <c r="AH33" s="55" t="s">
        <v>150</v>
      </c>
      <c r="AJ33" s="55" t="s">
        <v>149</v>
      </c>
      <c r="AK33" s="55" t="s">
        <v>151</v>
      </c>
      <c r="AM33" s="55" t="s">
        <v>149</v>
      </c>
      <c r="AN33" s="55" t="s">
        <v>152</v>
      </c>
    </row>
    <row r="34">
      <c r="A34" s="32" t="s">
        <v>126</v>
      </c>
      <c r="B34" s="67">
        <v>24.0</v>
      </c>
      <c r="C34" s="71" t="s">
        <v>73</v>
      </c>
      <c r="D34" s="115" t="s">
        <v>228</v>
      </c>
      <c r="E34" s="116" t="s">
        <v>229</v>
      </c>
      <c r="F34" s="115" t="s">
        <v>167</v>
      </c>
      <c r="G34" s="71" t="s">
        <v>230</v>
      </c>
      <c r="H34" s="82"/>
      <c r="I34" s="70">
        <v>4.75</v>
      </c>
      <c r="J34" s="71" t="s">
        <v>131</v>
      </c>
      <c r="K34" s="86">
        <v>44308.0</v>
      </c>
      <c r="L34" s="73">
        <v>44308.0</v>
      </c>
      <c r="M34" s="74">
        <f t="shared" si="1"/>
        <v>3.02739726</v>
      </c>
      <c r="N34" s="71">
        <f>vlookup(M34,'Table for Factors'!$C$30:$D$35,2,true)</f>
        <v>1</v>
      </c>
      <c r="O34" s="71">
        <f>vlookup(I34,'Table for Factors'!$C$38:$D$43,2,false)</f>
        <v>4</v>
      </c>
      <c r="P34" s="70">
        <v>1.0</v>
      </c>
      <c r="Q34" s="24">
        <f t="shared" si="2"/>
        <v>2.8</v>
      </c>
      <c r="R34" s="75">
        <f t="shared" si="3"/>
        <v>0.03631647211</v>
      </c>
      <c r="S34" s="76">
        <f t="shared" si="4"/>
        <v>43579.76654</v>
      </c>
      <c r="U34" s="63">
        <f t="shared" si="5"/>
        <v>33600</v>
      </c>
      <c r="V34" s="20"/>
      <c r="W34" s="60"/>
      <c r="AG34" s="55">
        <v>1.0</v>
      </c>
      <c r="AH34" s="55">
        <v>3.0</v>
      </c>
      <c r="AJ34" s="55">
        <v>1.0</v>
      </c>
      <c r="AK34" s="55">
        <v>3.5</v>
      </c>
      <c r="AM34" s="55">
        <v>1.0</v>
      </c>
    </row>
    <row r="35">
      <c r="D35" s="1"/>
      <c r="AG35" s="55">
        <v>2.0</v>
      </c>
      <c r="AH35" s="55">
        <v>5.0</v>
      </c>
      <c r="AJ35" s="55">
        <v>2.0</v>
      </c>
      <c r="AK35" s="55">
        <v>4.0</v>
      </c>
      <c r="AM35" s="55">
        <v>2.0</v>
      </c>
    </row>
    <row r="36">
      <c r="D36" s="2"/>
      <c r="E36" s="55"/>
      <c r="F36" s="55"/>
      <c r="G36" s="55"/>
      <c r="H36" s="55" t="s">
        <v>23</v>
      </c>
      <c r="P36" s="55" t="s">
        <v>23</v>
      </c>
      <c r="Q36" s="63">
        <f t="shared" ref="Q36:S36" si="6">sum(Q11:Q34)</f>
        <v>77.1</v>
      </c>
      <c r="R36" s="20">
        <f t="shared" si="6"/>
        <v>1</v>
      </c>
      <c r="S36" s="60">
        <f t="shared" si="6"/>
        <v>1200000</v>
      </c>
      <c r="U36" s="63">
        <f>sum(U11:U34)</f>
        <v>925200</v>
      </c>
      <c r="AG36" s="55"/>
      <c r="AH36" s="55"/>
      <c r="AJ36" s="55"/>
      <c r="AK36" s="55"/>
      <c r="AM36" s="55"/>
    </row>
    <row r="37">
      <c r="D37" s="1"/>
      <c r="R37" s="20"/>
    </row>
    <row r="38">
      <c r="D38" s="1"/>
      <c r="R38" s="20"/>
    </row>
    <row r="39">
      <c r="D39" s="1"/>
      <c r="R39" s="20"/>
    </row>
    <row r="40">
      <c r="D40" s="1"/>
      <c r="R40" s="20"/>
    </row>
    <row r="41">
      <c r="D41" s="1"/>
      <c r="R41" s="20"/>
    </row>
    <row r="42">
      <c r="D42" s="1"/>
      <c r="R42" s="20"/>
    </row>
    <row r="43">
      <c r="D43" s="1"/>
      <c r="R43" s="20"/>
    </row>
    <row r="44">
      <c r="D44" s="1"/>
      <c r="R44" s="20"/>
    </row>
    <row r="45">
      <c r="D45" s="1"/>
      <c r="R45" s="20"/>
    </row>
    <row r="46">
      <c r="D46" s="1"/>
      <c r="R46" s="20"/>
    </row>
    <row r="47">
      <c r="D47" s="1"/>
      <c r="R47" s="20"/>
    </row>
    <row r="48">
      <c r="D48" s="1"/>
      <c r="R48" s="20"/>
    </row>
    <row r="49">
      <c r="D49" s="1"/>
      <c r="R49" s="20"/>
    </row>
    <row r="50">
      <c r="D50" s="1"/>
      <c r="R50" s="20"/>
    </row>
    <row r="51">
      <c r="D51" s="1"/>
      <c r="R51" s="20"/>
    </row>
    <row r="52">
      <c r="D52" s="1"/>
      <c r="R52" s="20"/>
    </row>
    <row r="53">
      <c r="D53" s="1"/>
      <c r="R53" s="20"/>
    </row>
    <row r="54">
      <c r="D54" s="1"/>
      <c r="R54" s="20"/>
    </row>
    <row r="55">
      <c r="D55" s="1"/>
      <c r="R55" s="20"/>
    </row>
    <row r="56">
      <c r="D56" s="1"/>
      <c r="R56" s="20"/>
    </row>
    <row r="57">
      <c r="D57" s="1"/>
      <c r="R57" s="20"/>
    </row>
    <row r="58">
      <c r="D58" s="1"/>
      <c r="R58" s="20"/>
    </row>
    <row r="59">
      <c r="D59" s="1"/>
      <c r="R59" s="20"/>
    </row>
    <row r="60">
      <c r="D60" s="1"/>
      <c r="R60" s="20"/>
    </row>
    <row r="61">
      <c r="D61" s="1"/>
      <c r="R61" s="20"/>
    </row>
    <row r="62">
      <c r="D62" s="1"/>
      <c r="R62" s="20"/>
    </row>
    <row r="63">
      <c r="D63" s="1"/>
      <c r="R63" s="20"/>
    </row>
    <row r="64">
      <c r="D64" s="1"/>
      <c r="R64" s="20"/>
    </row>
    <row r="65">
      <c r="D65" s="1"/>
      <c r="R65" s="20"/>
    </row>
    <row r="66">
      <c r="D66" s="1"/>
      <c r="R66" s="20"/>
    </row>
    <row r="67">
      <c r="D67" s="1"/>
      <c r="R67" s="20"/>
    </row>
    <row r="68">
      <c r="D68" s="1"/>
      <c r="R68" s="20"/>
    </row>
    <row r="69">
      <c r="D69" s="1"/>
      <c r="R69" s="20"/>
    </row>
    <row r="70">
      <c r="D70" s="1"/>
      <c r="R70" s="20"/>
    </row>
    <row r="71">
      <c r="D71" s="1"/>
      <c r="R71" s="20"/>
    </row>
    <row r="72">
      <c r="D72" s="1"/>
      <c r="R72" s="20"/>
    </row>
    <row r="73">
      <c r="D73" s="1"/>
      <c r="R73" s="20"/>
    </row>
    <row r="74">
      <c r="D74" s="1"/>
      <c r="R74" s="20"/>
    </row>
    <row r="75">
      <c r="D75" s="1"/>
      <c r="R75" s="20"/>
    </row>
    <row r="76">
      <c r="D76" s="1"/>
      <c r="R76" s="20"/>
    </row>
    <row r="77">
      <c r="D77" s="1"/>
      <c r="R77" s="20"/>
    </row>
    <row r="78">
      <c r="D78" s="1"/>
      <c r="R78" s="20"/>
    </row>
    <row r="79">
      <c r="D79" s="1"/>
      <c r="R79" s="20"/>
    </row>
    <row r="80">
      <c r="D80" s="1"/>
      <c r="R80" s="20"/>
    </row>
    <row r="81">
      <c r="D81" s="1"/>
      <c r="R81" s="20"/>
    </row>
    <row r="82">
      <c r="D82" s="1"/>
      <c r="R82" s="20"/>
    </row>
    <row r="83">
      <c r="D83" s="1"/>
      <c r="R83" s="20"/>
    </row>
    <row r="84">
      <c r="D84" s="1"/>
      <c r="R84" s="20"/>
    </row>
    <row r="85">
      <c r="D85" s="1"/>
      <c r="R85" s="20"/>
    </row>
    <row r="86">
      <c r="D86" s="1"/>
      <c r="R86" s="20"/>
    </row>
    <row r="87">
      <c r="D87" s="1"/>
      <c r="R87" s="20"/>
    </row>
    <row r="88">
      <c r="D88" s="1"/>
      <c r="R88" s="20"/>
    </row>
    <row r="89">
      <c r="D89" s="1"/>
      <c r="R89" s="20"/>
    </row>
    <row r="90">
      <c r="D90" s="1"/>
      <c r="R90" s="20"/>
    </row>
    <row r="91">
      <c r="D91" s="1"/>
      <c r="R91" s="20"/>
    </row>
    <row r="92">
      <c r="D92" s="1"/>
      <c r="R92" s="20"/>
    </row>
    <row r="93">
      <c r="D93" s="1"/>
      <c r="R93" s="20"/>
    </row>
    <row r="94">
      <c r="D94" s="1"/>
      <c r="R94" s="20"/>
    </row>
    <row r="95">
      <c r="D95" s="1"/>
      <c r="R95" s="20"/>
    </row>
    <row r="96">
      <c r="D96" s="1"/>
      <c r="R96" s="20"/>
    </row>
    <row r="97">
      <c r="D97" s="1"/>
      <c r="R97" s="20"/>
    </row>
    <row r="98">
      <c r="D98" s="1"/>
      <c r="R98" s="20"/>
    </row>
    <row r="99">
      <c r="D99" s="1"/>
      <c r="R99" s="20"/>
    </row>
    <row r="100">
      <c r="D100" s="1"/>
      <c r="R100" s="20"/>
    </row>
    <row r="101">
      <c r="D101" s="1"/>
      <c r="R101" s="20"/>
    </row>
    <row r="102">
      <c r="D102" s="1"/>
      <c r="R102" s="20"/>
    </row>
    <row r="103">
      <c r="D103" s="1"/>
      <c r="R103" s="20"/>
    </row>
    <row r="104">
      <c r="D104" s="1"/>
      <c r="R104" s="20"/>
    </row>
    <row r="105">
      <c r="D105" s="1"/>
      <c r="R105" s="20"/>
    </row>
    <row r="106">
      <c r="D106" s="1"/>
      <c r="R106" s="20"/>
    </row>
    <row r="107">
      <c r="D107" s="1"/>
      <c r="R107" s="20"/>
    </row>
    <row r="108">
      <c r="D108" s="1"/>
      <c r="R108" s="20"/>
    </row>
    <row r="109">
      <c r="D109" s="1"/>
      <c r="R109" s="20"/>
    </row>
    <row r="110">
      <c r="D110" s="1"/>
      <c r="R110" s="20"/>
    </row>
    <row r="111">
      <c r="D111" s="1"/>
      <c r="R111" s="20"/>
    </row>
    <row r="112">
      <c r="D112" s="1"/>
      <c r="R112" s="20"/>
    </row>
    <row r="113">
      <c r="D113" s="1"/>
      <c r="R113" s="20"/>
    </row>
    <row r="114">
      <c r="D114" s="1"/>
      <c r="R114" s="20"/>
    </row>
    <row r="115">
      <c r="D115" s="1"/>
      <c r="R115" s="20"/>
    </row>
    <row r="116">
      <c r="D116" s="1"/>
      <c r="R116" s="20"/>
    </row>
    <row r="117">
      <c r="D117" s="1"/>
      <c r="R117" s="20"/>
    </row>
    <row r="118">
      <c r="D118" s="1"/>
      <c r="R118" s="20"/>
    </row>
    <row r="119">
      <c r="D119" s="1"/>
      <c r="R119" s="20"/>
    </row>
    <row r="120">
      <c r="D120" s="1"/>
      <c r="R120" s="20"/>
    </row>
    <row r="121">
      <c r="D121" s="1"/>
      <c r="R121" s="20"/>
    </row>
    <row r="122">
      <c r="D122" s="1"/>
      <c r="R122" s="20"/>
    </row>
    <row r="123">
      <c r="D123" s="1"/>
      <c r="R123" s="20"/>
    </row>
    <row r="124">
      <c r="D124" s="1"/>
      <c r="R124" s="20"/>
    </row>
    <row r="125">
      <c r="D125" s="1"/>
      <c r="R125" s="20"/>
    </row>
    <row r="126">
      <c r="D126" s="1"/>
      <c r="R126" s="20"/>
    </row>
    <row r="127">
      <c r="D127" s="1"/>
      <c r="R127" s="20"/>
    </row>
    <row r="128">
      <c r="D128" s="1"/>
      <c r="R128" s="20"/>
    </row>
    <row r="129">
      <c r="D129" s="1"/>
      <c r="R129" s="20"/>
    </row>
    <row r="130">
      <c r="D130" s="1"/>
      <c r="R130" s="20"/>
    </row>
    <row r="131">
      <c r="D131" s="1"/>
      <c r="R131" s="20"/>
    </row>
    <row r="132">
      <c r="D132" s="1"/>
      <c r="R132" s="20"/>
    </row>
    <row r="133">
      <c r="D133" s="1"/>
      <c r="R133" s="20"/>
    </row>
    <row r="134">
      <c r="D134" s="1"/>
      <c r="R134" s="20"/>
    </row>
    <row r="135">
      <c r="D135" s="1"/>
      <c r="R135" s="20"/>
    </row>
    <row r="136">
      <c r="D136" s="1"/>
      <c r="R136" s="20"/>
    </row>
    <row r="137">
      <c r="D137" s="1"/>
      <c r="R137" s="20"/>
    </row>
    <row r="138">
      <c r="D138" s="1"/>
      <c r="R138" s="20"/>
    </row>
    <row r="139">
      <c r="D139" s="1"/>
      <c r="R139" s="20"/>
    </row>
    <row r="140">
      <c r="D140" s="1"/>
      <c r="R140" s="20"/>
    </row>
    <row r="141">
      <c r="D141" s="1"/>
      <c r="R141" s="20"/>
    </row>
    <row r="142">
      <c r="D142" s="1"/>
      <c r="R142" s="20"/>
    </row>
    <row r="143">
      <c r="D143" s="1"/>
      <c r="R143" s="20"/>
    </row>
    <row r="144">
      <c r="D144" s="1"/>
      <c r="R144" s="20"/>
    </row>
    <row r="145">
      <c r="D145" s="1"/>
      <c r="R145" s="20"/>
    </row>
    <row r="146">
      <c r="D146" s="1"/>
      <c r="R146" s="20"/>
    </row>
    <row r="147">
      <c r="D147" s="1"/>
      <c r="R147" s="20"/>
    </row>
    <row r="148">
      <c r="D148" s="1"/>
      <c r="R148" s="20"/>
    </row>
    <row r="149">
      <c r="D149" s="1"/>
      <c r="R149" s="20"/>
    </row>
    <row r="150">
      <c r="D150" s="1"/>
      <c r="R150" s="20"/>
    </row>
    <row r="151">
      <c r="D151" s="1"/>
      <c r="R151" s="20"/>
    </row>
    <row r="152">
      <c r="D152" s="1"/>
      <c r="R152" s="20"/>
    </row>
    <row r="153">
      <c r="D153" s="1"/>
      <c r="R153" s="20"/>
    </row>
    <row r="154">
      <c r="D154" s="1"/>
      <c r="R154" s="20"/>
    </row>
    <row r="155">
      <c r="D155" s="1"/>
      <c r="R155" s="20"/>
    </row>
    <row r="156">
      <c r="D156" s="1"/>
      <c r="R156" s="20"/>
    </row>
    <row r="157">
      <c r="D157" s="1"/>
      <c r="R157" s="20"/>
    </row>
    <row r="158">
      <c r="D158" s="1"/>
      <c r="R158" s="20"/>
    </row>
    <row r="159">
      <c r="D159" s="1"/>
      <c r="R159" s="20"/>
    </row>
    <row r="160">
      <c r="D160" s="1"/>
      <c r="R160" s="20"/>
    </row>
    <row r="161">
      <c r="D161" s="1"/>
      <c r="R161" s="20"/>
    </row>
    <row r="162">
      <c r="D162" s="1"/>
      <c r="R162" s="20"/>
    </row>
    <row r="163">
      <c r="D163" s="1"/>
      <c r="R163" s="20"/>
    </row>
    <row r="164">
      <c r="D164" s="1"/>
      <c r="R164" s="20"/>
    </row>
    <row r="165">
      <c r="D165" s="1"/>
      <c r="R165" s="20"/>
    </row>
    <row r="166">
      <c r="D166" s="1"/>
      <c r="R166" s="20"/>
    </row>
    <row r="167">
      <c r="D167" s="1"/>
      <c r="R167" s="20"/>
    </row>
    <row r="168">
      <c r="D168" s="1"/>
      <c r="R168" s="20"/>
    </row>
    <row r="169">
      <c r="D169" s="1"/>
      <c r="R169" s="20"/>
    </row>
    <row r="170">
      <c r="D170" s="1"/>
      <c r="R170" s="20"/>
    </row>
    <row r="171">
      <c r="D171" s="1"/>
      <c r="R171" s="20"/>
    </row>
    <row r="172">
      <c r="D172" s="1"/>
      <c r="R172" s="20"/>
    </row>
    <row r="173">
      <c r="D173" s="1"/>
      <c r="R173" s="20"/>
    </row>
    <row r="174">
      <c r="D174" s="1"/>
      <c r="R174" s="20"/>
    </row>
    <row r="175">
      <c r="D175" s="1"/>
      <c r="R175" s="20"/>
    </row>
    <row r="176">
      <c r="D176" s="1"/>
      <c r="R176" s="20"/>
    </row>
    <row r="177">
      <c r="D177" s="1"/>
      <c r="R177" s="20"/>
    </row>
    <row r="178">
      <c r="D178" s="1"/>
      <c r="R178" s="20"/>
    </row>
    <row r="179">
      <c r="D179" s="1"/>
      <c r="R179" s="20"/>
    </row>
    <row r="180">
      <c r="D180" s="1"/>
      <c r="R180" s="20"/>
    </row>
    <row r="181">
      <c r="D181" s="1"/>
      <c r="R181" s="20"/>
    </row>
    <row r="182">
      <c r="D182" s="1"/>
      <c r="R182" s="20"/>
    </row>
    <row r="183">
      <c r="D183" s="1"/>
      <c r="R183" s="20"/>
    </row>
    <row r="184">
      <c r="D184" s="1"/>
      <c r="R184" s="20"/>
    </row>
    <row r="185">
      <c r="D185" s="1"/>
      <c r="R185" s="20"/>
    </row>
    <row r="186">
      <c r="D186" s="1"/>
      <c r="R186" s="20"/>
    </row>
    <row r="187">
      <c r="D187" s="1"/>
      <c r="R187" s="20"/>
    </row>
    <row r="188">
      <c r="D188" s="1"/>
      <c r="R188" s="20"/>
    </row>
    <row r="189">
      <c r="D189" s="1"/>
      <c r="R189" s="20"/>
    </row>
    <row r="190">
      <c r="D190" s="1"/>
      <c r="R190" s="20"/>
    </row>
    <row r="191">
      <c r="D191" s="1"/>
      <c r="R191" s="20"/>
    </row>
    <row r="192">
      <c r="D192" s="1"/>
      <c r="R192" s="20"/>
    </row>
    <row r="193">
      <c r="D193" s="1"/>
      <c r="R193" s="20"/>
    </row>
    <row r="194">
      <c r="D194" s="1"/>
      <c r="R194" s="20"/>
    </row>
    <row r="195">
      <c r="D195" s="1"/>
      <c r="R195" s="20"/>
    </row>
    <row r="196">
      <c r="D196" s="1"/>
      <c r="R196" s="20"/>
    </row>
    <row r="197">
      <c r="D197" s="1"/>
      <c r="R197" s="20"/>
    </row>
    <row r="198">
      <c r="D198" s="1"/>
      <c r="R198" s="20"/>
    </row>
    <row r="199">
      <c r="D199" s="1"/>
      <c r="R199" s="20"/>
    </row>
    <row r="200">
      <c r="D200" s="1"/>
      <c r="R200" s="20"/>
    </row>
    <row r="201">
      <c r="D201" s="1"/>
      <c r="R201" s="20"/>
    </row>
    <row r="202">
      <c r="D202" s="1"/>
      <c r="R202" s="20"/>
    </row>
    <row r="203">
      <c r="D203" s="1"/>
      <c r="R203" s="20"/>
    </row>
    <row r="204">
      <c r="D204" s="1"/>
      <c r="R204" s="20"/>
    </row>
    <row r="205">
      <c r="D205" s="1"/>
      <c r="R205" s="20"/>
    </row>
    <row r="206">
      <c r="D206" s="1"/>
      <c r="R206" s="20"/>
    </row>
    <row r="207">
      <c r="D207" s="1"/>
      <c r="R207" s="20"/>
    </row>
    <row r="208">
      <c r="D208" s="1"/>
      <c r="R208" s="20"/>
    </row>
    <row r="209">
      <c r="D209" s="1"/>
      <c r="R209" s="20"/>
    </row>
    <row r="210">
      <c r="D210" s="1"/>
      <c r="R210" s="20"/>
    </row>
    <row r="211">
      <c r="D211" s="1"/>
      <c r="R211" s="20"/>
    </row>
    <row r="212">
      <c r="D212" s="1"/>
      <c r="R212" s="20"/>
    </row>
    <row r="213">
      <c r="D213" s="1"/>
      <c r="R213" s="20"/>
    </row>
    <row r="214">
      <c r="D214" s="1"/>
      <c r="R214" s="20"/>
    </row>
    <row r="215">
      <c r="D215" s="1"/>
      <c r="R215" s="20"/>
    </row>
    <row r="216">
      <c r="D216" s="1"/>
      <c r="R216" s="20"/>
    </row>
    <row r="217">
      <c r="D217" s="1"/>
      <c r="R217" s="20"/>
    </row>
    <row r="218">
      <c r="D218" s="1"/>
      <c r="R218" s="20"/>
    </row>
    <row r="219">
      <c r="D219" s="1"/>
      <c r="R219" s="20"/>
    </row>
    <row r="220">
      <c r="D220" s="1"/>
      <c r="R220" s="20"/>
    </row>
    <row r="221">
      <c r="D221" s="1"/>
      <c r="R221" s="20"/>
    </row>
    <row r="222">
      <c r="D222" s="1"/>
      <c r="R222" s="20"/>
    </row>
    <row r="223">
      <c r="D223" s="1"/>
      <c r="R223" s="20"/>
    </row>
    <row r="224">
      <c r="D224" s="1"/>
      <c r="R224" s="20"/>
    </row>
    <row r="225">
      <c r="D225" s="1"/>
      <c r="R225" s="20"/>
    </row>
    <row r="226">
      <c r="D226" s="1"/>
      <c r="R226" s="20"/>
    </row>
    <row r="227">
      <c r="D227" s="1"/>
      <c r="R227" s="20"/>
    </row>
    <row r="228">
      <c r="D228" s="1"/>
      <c r="R228" s="20"/>
    </row>
    <row r="229">
      <c r="D229" s="1"/>
      <c r="R229" s="20"/>
    </row>
    <row r="230">
      <c r="D230" s="1"/>
      <c r="R230" s="20"/>
    </row>
    <row r="231">
      <c r="D231" s="1"/>
      <c r="R231" s="20"/>
    </row>
    <row r="232">
      <c r="D232" s="1"/>
      <c r="R232" s="20"/>
    </row>
    <row r="233">
      <c r="D233" s="1"/>
      <c r="R233" s="20"/>
    </row>
    <row r="234">
      <c r="D234" s="1"/>
      <c r="R234" s="20"/>
    </row>
    <row r="235">
      <c r="D235" s="1"/>
      <c r="R235" s="20"/>
    </row>
    <row r="236">
      <c r="D236" s="1"/>
      <c r="R236" s="20"/>
    </row>
    <row r="237">
      <c r="D237" s="1"/>
      <c r="R237" s="20"/>
    </row>
    <row r="238">
      <c r="D238" s="1"/>
      <c r="R238" s="20"/>
    </row>
    <row r="239">
      <c r="D239" s="1"/>
      <c r="R239" s="20"/>
    </row>
    <row r="240">
      <c r="D240" s="1"/>
      <c r="R240" s="20"/>
    </row>
    <row r="241">
      <c r="D241" s="1"/>
      <c r="R241" s="20"/>
    </row>
    <row r="242">
      <c r="D242" s="1"/>
      <c r="R242" s="20"/>
    </row>
    <row r="243">
      <c r="D243" s="1"/>
      <c r="R243" s="20"/>
    </row>
    <row r="244">
      <c r="D244" s="1"/>
      <c r="R244" s="20"/>
    </row>
    <row r="245">
      <c r="D245" s="1"/>
      <c r="R245" s="20"/>
    </row>
    <row r="246">
      <c r="D246" s="1"/>
      <c r="R246" s="20"/>
    </row>
    <row r="247">
      <c r="D247" s="1"/>
      <c r="R247" s="20"/>
    </row>
    <row r="248">
      <c r="D248" s="1"/>
      <c r="R248" s="20"/>
    </row>
    <row r="249">
      <c r="D249" s="1"/>
      <c r="R249" s="20"/>
    </row>
    <row r="250">
      <c r="D250" s="1"/>
      <c r="R250" s="20"/>
    </row>
    <row r="251">
      <c r="D251" s="1"/>
      <c r="R251" s="20"/>
    </row>
    <row r="252">
      <c r="D252" s="1"/>
      <c r="R252" s="20"/>
    </row>
    <row r="253">
      <c r="D253" s="1"/>
      <c r="R253" s="20"/>
    </row>
    <row r="254">
      <c r="D254" s="1"/>
      <c r="R254" s="20"/>
    </row>
    <row r="255">
      <c r="D255" s="1"/>
      <c r="R255" s="20"/>
    </row>
    <row r="256">
      <c r="D256" s="1"/>
      <c r="R256" s="20"/>
    </row>
    <row r="257">
      <c r="D257" s="1"/>
      <c r="R257" s="20"/>
    </row>
    <row r="258">
      <c r="D258" s="1"/>
      <c r="R258" s="20"/>
    </row>
    <row r="259">
      <c r="D259" s="1"/>
      <c r="R259" s="20"/>
    </row>
    <row r="260">
      <c r="D260" s="1"/>
      <c r="R260" s="20"/>
    </row>
    <row r="261">
      <c r="D261" s="1"/>
      <c r="R261" s="20"/>
    </row>
    <row r="262">
      <c r="D262" s="1"/>
      <c r="R262" s="20"/>
    </row>
    <row r="263">
      <c r="D263" s="1"/>
      <c r="R263" s="20"/>
    </row>
    <row r="264">
      <c r="D264" s="1"/>
      <c r="R264" s="20"/>
    </row>
    <row r="265">
      <c r="D265" s="1"/>
      <c r="R265" s="20"/>
    </row>
    <row r="266">
      <c r="D266" s="1"/>
      <c r="R266" s="20"/>
    </row>
    <row r="267">
      <c r="D267" s="1"/>
      <c r="R267" s="20"/>
    </row>
    <row r="268">
      <c r="D268" s="1"/>
      <c r="R268" s="20"/>
    </row>
    <row r="269">
      <c r="D269" s="1"/>
      <c r="R269" s="20"/>
    </row>
    <row r="270">
      <c r="D270" s="1"/>
      <c r="R270" s="20"/>
    </row>
    <row r="271">
      <c r="D271" s="1"/>
      <c r="R271" s="20"/>
    </row>
    <row r="272">
      <c r="D272" s="1"/>
      <c r="R272" s="20"/>
    </row>
    <row r="273">
      <c r="D273" s="1"/>
      <c r="R273" s="20"/>
    </row>
    <row r="274">
      <c r="D274" s="1"/>
      <c r="R274" s="20"/>
    </row>
    <row r="275">
      <c r="D275" s="1"/>
      <c r="R275" s="20"/>
    </row>
    <row r="276">
      <c r="D276" s="1"/>
      <c r="R276" s="20"/>
    </row>
    <row r="277">
      <c r="D277" s="1"/>
      <c r="R277" s="20"/>
    </row>
    <row r="278">
      <c r="D278" s="1"/>
      <c r="R278" s="20"/>
    </row>
    <row r="279">
      <c r="D279" s="1"/>
      <c r="R279" s="20"/>
    </row>
    <row r="280">
      <c r="D280" s="1"/>
      <c r="R280" s="20"/>
    </row>
    <row r="281">
      <c r="D281" s="1"/>
      <c r="R281" s="20"/>
    </row>
    <row r="282">
      <c r="D282" s="1"/>
      <c r="R282" s="20"/>
    </row>
    <row r="283">
      <c r="D283" s="1"/>
      <c r="R283" s="20"/>
    </row>
    <row r="284">
      <c r="D284" s="1"/>
      <c r="R284" s="20"/>
    </row>
    <row r="285">
      <c r="D285" s="1"/>
      <c r="R285" s="20"/>
    </row>
    <row r="286">
      <c r="D286" s="1"/>
      <c r="R286" s="20"/>
    </row>
    <row r="287">
      <c r="D287" s="1"/>
      <c r="R287" s="20"/>
    </row>
    <row r="288">
      <c r="D288" s="1"/>
      <c r="R288" s="20"/>
    </row>
    <row r="289">
      <c r="D289" s="1"/>
      <c r="R289" s="20"/>
    </row>
    <row r="290">
      <c r="D290" s="1"/>
      <c r="R290" s="20"/>
    </row>
    <row r="291">
      <c r="D291" s="1"/>
      <c r="R291" s="20"/>
    </row>
    <row r="292">
      <c r="D292" s="1"/>
      <c r="R292" s="20"/>
    </row>
    <row r="293">
      <c r="D293" s="1"/>
      <c r="R293" s="20"/>
    </row>
    <row r="294">
      <c r="D294" s="1"/>
      <c r="R294" s="20"/>
    </row>
    <row r="295">
      <c r="D295" s="1"/>
      <c r="R295" s="20"/>
    </row>
    <row r="296">
      <c r="D296" s="1"/>
      <c r="R296" s="20"/>
    </row>
    <row r="297">
      <c r="D297" s="1"/>
      <c r="R297" s="20"/>
    </row>
    <row r="298">
      <c r="D298" s="1"/>
      <c r="R298" s="20"/>
    </row>
    <row r="299">
      <c r="D299" s="1"/>
      <c r="R299" s="20"/>
    </row>
    <row r="300">
      <c r="D300" s="1"/>
      <c r="R300" s="20"/>
    </row>
    <row r="301">
      <c r="D301" s="1"/>
      <c r="R301" s="20"/>
    </row>
    <row r="302">
      <c r="D302" s="1"/>
      <c r="R302" s="20"/>
    </row>
    <row r="303">
      <c r="D303" s="1"/>
      <c r="R303" s="20"/>
    </row>
    <row r="304">
      <c r="D304" s="1"/>
      <c r="R304" s="20"/>
    </row>
    <row r="305">
      <c r="D305" s="1"/>
      <c r="R305" s="20"/>
    </row>
    <row r="306">
      <c r="D306" s="1"/>
      <c r="R306" s="20"/>
    </row>
    <row r="307">
      <c r="D307" s="1"/>
      <c r="R307" s="20"/>
    </row>
    <row r="308">
      <c r="D308" s="1"/>
      <c r="R308" s="20"/>
    </row>
    <row r="309">
      <c r="D309" s="1"/>
      <c r="R309" s="20"/>
    </row>
    <row r="310">
      <c r="D310" s="1"/>
      <c r="R310" s="20"/>
    </row>
    <row r="311">
      <c r="D311" s="1"/>
      <c r="R311" s="20"/>
    </row>
    <row r="312">
      <c r="D312" s="1"/>
      <c r="R312" s="20"/>
    </row>
    <row r="313">
      <c r="D313" s="1"/>
      <c r="R313" s="20"/>
    </row>
    <row r="314">
      <c r="D314" s="1"/>
      <c r="R314" s="20"/>
    </row>
    <row r="315">
      <c r="D315" s="1"/>
      <c r="R315" s="20"/>
    </row>
    <row r="316">
      <c r="D316" s="1"/>
      <c r="R316" s="20"/>
    </row>
    <row r="317">
      <c r="D317" s="1"/>
      <c r="R317" s="20"/>
    </row>
    <row r="318">
      <c r="D318" s="1"/>
      <c r="R318" s="20"/>
    </row>
    <row r="319">
      <c r="D319" s="1"/>
      <c r="R319" s="20"/>
    </row>
    <row r="320">
      <c r="D320" s="1"/>
      <c r="R320" s="20"/>
    </row>
    <row r="321">
      <c r="D321" s="1"/>
      <c r="R321" s="20"/>
    </row>
    <row r="322">
      <c r="D322" s="1"/>
      <c r="R322" s="20"/>
    </row>
    <row r="323">
      <c r="D323" s="1"/>
      <c r="R323" s="20"/>
    </row>
    <row r="324">
      <c r="D324" s="1"/>
      <c r="R324" s="20"/>
    </row>
    <row r="325">
      <c r="D325" s="1"/>
      <c r="R325" s="20"/>
    </row>
    <row r="326">
      <c r="D326" s="1"/>
      <c r="R326" s="20"/>
    </row>
    <row r="327">
      <c r="D327" s="1"/>
      <c r="R327" s="20"/>
    </row>
    <row r="328">
      <c r="D328" s="1"/>
      <c r="R328" s="20"/>
    </row>
    <row r="329">
      <c r="D329" s="1"/>
      <c r="R329" s="20"/>
    </row>
    <row r="330">
      <c r="D330" s="1"/>
      <c r="R330" s="20"/>
    </row>
    <row r="331">
      <c r="D331" s="1"/>
      <c r="R331" s="20"/>
    </row>
    <row r="332">
      <c r="D332" s="1"/>
      <c r="R332" s="20"/>
    </row>
    <row r="333">
      <c r="D333" s="1"/>
      <c r="R333" s="20"/>
    </row>
    <row r="334">
      <c r="D334" s="1"/>
      <c r="R334" s="20"/>
    </row>
    <row r="335">
      <c r="D335" s="1"/>
      <c r="R335" s="20"/>
    </row>
    <row r="336">
      <c r="D336" s="1"/>
      <c r="R336" s="20"/>
    </row>
    <row r="337">
      <c r="D337" s="1"/>
      <c r="R337" s="20"/>
    </row>
    <row r="338">
      <c r="D338" s="1"/>
      <c r="R338" s="20"/>
    </row>
    <row r="339">
      <c r="D339" s="1"/>
      <c r="R339" s="20"/>
    </row>
    <row r="340">
      <c r="D340" s="1"/>
      <c r="R340" s="20"/>
    </row>
    <row r="341">
      <c r="D341" s="1"/>
      <c r="R341" s="20"/>
    </row>
    <row r="342">
      <c r="D342" s="1"/>
      <c r="R342" s="20"/>
    </row>
    <row r="343">
      <c r="D343" s="1"/>
      <c r="R343" s="20"/>
    </row>
    <row r="344">
      <c r="D344" s="1"/>
      <c r="R344" s="20"/>
    </row>
    <row r="345">
      <c r="D345" s="1"/>
      <c r="R345" s="20"/>
    </row>
    <row r="346">
      <c r="D346" s="1"/>
      <c r="R346" s="20"/>
    </row>
    <row r="347">
      <c r="D347" s="1"/>
      <c r="R347" s="20"/>
    </row>
    <row r="348">
      <c r="D348" s="1"/>
      <c r="R348" s="20"/>
    </row>
    <row r="349">
      <c r="D349" s="1"/>
      <c r="R349" s="20"/>
    </row>
    <row r="350">
      <c r="D350" s="1"/>
      <c r="R350" s="20"/>
    </row>
    <row r="351">
      <c r="D351" s="1"/>
      <c r="R351" s="20"/>
    </row>
    <row r="352">
      <c r="D352" s="1"/>
      <c r="R352" s="20"/>
    </row>
    <row r="353">
      <c r="D353" s="1"/>
      <c r="R353" s="20"/>
    </row>
    <row r="354">
      <c r="D354" s="1"/>
      <c r="R354" s="20"/>
    </row>
    <row r="355">
      <c r="D355" s="1"/>
      <c r="R355" s="20"/>
    </row>
    <row r="356">
      <c r="D356" s="1"/>
      <c r="R356" s="20"/>
    </row>
    <row r="357">
      <c r="D357" s="1"/>
      <c r="R357" s="20"/>
    </row>
    <row r="358">
      <c r="D358" s="1"/>
      <c r="R358" s="20"/>
    </row>
    <row r="359">
      <c r="D359" s="1"/>
      <c r="R359" s="20"/>
    </row>
    <row r="360">
      <c r="D360" s="1"/>
      <c r="R360" s="20"/>
    </row>
    <row r="361">
      <c r="D361" s="1"/>
      <c r="R361" s="20"/>
    </row>
    <row r="362">
      <c r="D362" s="1"/>
      <c r="R362" s="20"/>
    </row>
    <row r="363">
      <c r="D363" s="1"/>
      <c r="R363" s="20"/>
    </row>
    <row r="364">
      <c r="D364" s="1"/>
      <c r="R364" s="20"/>
    </row>
    <row r="365">
      <c r="D365" s="1"/>
      <c r="R365" s="20"/>
    </row>
    <row r="366">
      <c r="D366" s="1"/>
      <c r="R366" s="20"/>
    </row>
    <row r="367">
      <c r="D367" s="1"/>
      <c r="R367" s="20"/>
    </row>
    <row r="368">
      <c r="D368" s="1"/>
      <c r="R368" s="20"/>
    </row>
    <row r="369">
      <c r="D369" s="1"/>
      <c r="R369" s="20"/>
    </row>
    <row r="370">
      <c r="D370" s="1"/>
      <c r="R370" s="20"/>
    </row>
    <row r="371">
      <c r="D371" s="1"/>
      <c r="R371" s="20"/>
    </row>
    <row r="372">
      <c r="D372" s="1"/>
      <c r="R372" s="20"/>
    </row>
    <row r="373">
      <c r="D373" s="1"/>
      <c r="R373" s="20"/>
    </row>
    <row r="374">
      <c r="D374" s="1"/>
      <c r="R374" s="20"/>
    </row>
    <row r="375">
      <c r="D375" s="1"/>
      <c r="R375" s="20"/>
    </row>
    <row r="376">
      <c r="D376" s="1"/>
      <c r="R376" s="20"/>
    </row>
    <row r="377">
      <c r="D377" s="1"/>
      <c r="R377" s="20"/>
    </row>
    <row r="378">
      <c r="D378" s="1"/>
      <c r="R378" s="20"/>
    </row>
    <row r="379">
      <c r="D379" s="1"/>
      <c r="R379" s="20"/>
    </row>
    <row r="380">
      <c r="D380" s="1"/>
      <c r="R380" s="20"/>
    </row>
    <row r="381">
      <c r="D381" s="1"/>
      <c r="R381" s="20"/>
    </row>
    <row r="382">
      <c r="D382" s="1"/>
      <c r="R382" s="20"/>
    </row>
    <row r="383">
      <c r="D383" s="1"/>
      <c r="R383" s="20"/>
    </row>
    <row r="384">
      <c r="D384" s="1"/>
      <c r="R384" s="20"/>
    </row>
    <row r="385">
      <c r="D385" s="1"/>
      <c r="R385" s="20"/>
    </row>
    <row r="386">
      <c r="D386" s="1"/>
      <c r="R386" s="20"/>
    </row>
    <row r="387">
      <c r="D387" s="1"/>
      <c r="R387" s="20"/>
    </row>
    <row r="388">
      <c r="D388" s="1"/>
      <c r="R388" s="20"/>
    </row>
    <row r="389">
      <c r="D389" s="1"/>
      <c r="R389" s="20"/>
    </row>
    <row r="390">
      <c r="D390" s="1"/>
      <c r="R390" s="20"/>
    </row>
    <row r="391">
      <c r="D391" s="1"/>
      <c r="R391" s="20"/>
    </row>
    <row r="392">
      <c r="D392" s="1"/>
      <c r="R392" s="20"/>
    </row>
    <row r="393">
      <c r="D393" s="1"/>
      <c r="R393" s="20"/>
    </row>
    <row r="394">
      <c r="D394" s="1"/>
      <c r="R394" s="20"/>
    </row>
    <row r="395">
      <c r="D395" s="1"/>
      <c r="R395" s="20"/>
    </row>
    <row r="396">
      <c r="D396" s="1"/>
      <c r="R396" s="20"/>
    </row>
    <row r="397">
      <c r="D397" s="1"/>
      <c r="R397" s="20"/>
    </row>
    <row r="398">
      <c r="D398" s="1"/>
      <c r="R398" s="20"/>
    </row>
    <row r="399">
      <c r="D399" s="1"/>
      <c r="R399" s="20"/>
    </row>
    <row r="400">
      <c r="D400" s="1"/>
      <c r="R400" s="20"/>
    </row>
    <row r="401">
      <c r="D401" s="1"/>
      <c r="R401" s="20"/>
    </row>
    <row r="402">
      <c r="D402" s="1"/>
      <c r="R402" s="20"/>
    </row>
    <row r="403">
      <c r="D403" s="1"/>
      <c r="R403" s="20"/>
    </row>
    <row r="404">
      <c r="D404" s="1"/>
      <c r="R404" s="20"/>
    </row>
    <row r="405">
      <c r="D405" s="1"/>
      <c r="R405" s="20"/>
    </row>
    <row r="406">
      <c r="D406" s="1"/>
      <c r="R406" s="20"/>
    </row>
    <row r="407">
      <c r="D407" s="1"/>
      <c r="R407" s="20"/>
    </row>
    <row r="408">
      <c r="D408" s="1"/>
      <c r="R408" s="20"/>
    </row>
    <row r="409">
      <c r="D409" s="1"/>
      <c r="R409" s="20"/>
    </row>
    <row r="410">
      <c r="D410" s="1"/>
      <c r="R410" s="20"/>
    </row>
    <row r="411">
      <c r="D411" s="1"/>
      <c r="R411" s="20"/>
    </row>
    <row r="412">
      <c r="D412" s="1"/>
      <c r="R412" s="20"/>
    </row>
    <row r="413">
      <c r="D413" s="1"/>
      <c r="R413" s="20"/>
    </row>
    <row r="414">
      <c r="D414" s="1"/>
      <c r="R414" s="20"/>
    </row>
    <row r="415">
      <c r="D415" s="1"/>
      <c r="R415" s="20"/>
    </row>
    <row r="416">
      <c r="D416" s="1"/>
      <c r="R416" s="20"/>
    </row>
    <row r="417">
      <c r="D417" s="1"/>
      <c r="R417" s="20"/>
    </row>
    <row r="418">
      <c r="D418" s="1"/>
      <c r="R418" s="20"/>
    </row>
    <row r="419">
      <c r="D419" s="1"/>
      <c r="R419" s="20"/>
    </row>
    <row r="420">
      <c r="D420" s="1"/>
      <c r="R420" s="20"/>
    </row>
    <row r="421">
      <c r="D421" s="1"/>
      <c r="R421" s="20"/>
    </row>
    <row r="422">
      <c r="D422" s="1"/>
      <c r="R422" s="20"/>
    </row>
    <row r="423">
      <c r="D423" s="1"/>
      <c r="R423" s="20"/>
    </row>
    <row r="424">
      <c r="D424" s="1"/>
      <c r="R424" s="20"/>
    </row>
    <row r="425">
      <c r="D425" s="1"/>
      <c r="R425" s="20"/>
    </row>
    <row r="426">
      <c r="D426" s="1"/>
      <c r="R426" s="20"/>
    </row>
    <row r="427">
      <c r="D427" s="1"/>
      <c r="R427" s="20"/>
    </row>
    <row r="428">
      <c r="D428" s="1"/>
      <c r="R428" s="20"/>
    </row>
    <row r="429">
      <c r="D429" s="1"/>
      <c r="R429" s="20"/>
    </row>
    <row r="430">
      <c r="D430" s="1"/>
      <c r="R430" s="20"/>
    </row>
    <row r="431">
      <c r="D431" s="1"/>
      <c r="R431" s="20"/>
    </row>
    <row r="432">
      <c r="D432" s="1"/>
      <c r="R432" s="20"/>
    </row>
    <row r="433">
      <c r="D433" s="1"/>
      <c r="R433" s="20"/>
    </row>
    <row r="434">
      <c r="D434" s="1"/>
      <c r="R434" s="20"/>
    </row>
    <row r="435">
      <c r="D435" s="1"/>
      <c r="R435" s="20"/>
    </row>
    <row r="436">
      <c r="D436" s="1"/>
      <c r="R436" s="20"/>
    </row>
    <row r="437">
      <c r="D437" s="1"/>
      <c r="R437" s="20"/>
    </row>
    <row r="438">
      <c r="D438" s="1"/>
      <c r="R438" s="20"/>
    </row>
    <row r="439">
      <c r="D439" s="1"/>
      <c r="R439" s="20"/>
    </row>
    <row r="440">
      <c r="D440" s="1"/>
      <c r="R440" s="20"/>
    </row>
    <row r="441">
      <c r="D441" s="1"/>
      <c r="R441" s="20"/>
    </row>
    <row r="442">
      <c r="D442" s="1"/>
      <c r="R442" s="20"/>
    </row>
    <row r="443">
      <c r="D443" s="1"/>
      <c r="R443" s="20"/>
    </row>
    <row r="444">
      <c r="D444" s="1"/>
      <c r="R444" s="20"/>
    </row>
    <row r="445">
      <c r="D445" s="1"/>
      <c r="R445" s="20"/>
    </row>
    <row r="446">
      <c r="D446" s="1"/>
      <c r="R446" s="20"/>
    </row>
    <row r="447">
      <c r="D447" s="1"/>
      <c r="R447" s="20"/>
    </row>
    <row r="448">
      <c r="D448" s="1"/>
      <c r="R448" s="20"/>
    </row>
    <row r="449">
      <c r="D449" s="1"/>
      <c r="R449" s="20"/>
    </row>
    <row r="450">
      <c r="D450" s="1"/>
      <c r="R450" s="20"/>
    </row>
    <row r="451">
      <c r="D451" s="1"/>
      <c r="R451" s="20"/>
    </row>
    <row r="452">
      <c r="D452" s="1"/>
      <c r="R452" s="20"/>
    </row>
    <row r="453">
      <c r="D453" s="1"/>
      <c r="R453" s="20"/>
    </row>
    <row r="454">
      <c r="D454" s="1"/>
      <c r="R454" s="20"/>
    </row>
    <row r="455">
      <c r="D455" s="1"/>
      <c r="R455" s="20"/>
    </row>
    <row r="456">
      <c r="D456" s="1"/>
      <c r="R456" s="20"/>
    </row>
    <row r="457">
      <c r="D457" s="1"/>
      <c r="R457" s="20"/>
    </row>
    <row r="458">
      <c r="D458" s="1"/>
      <c r="R458" s="20"/>
    </row>
    <row r="459">
      <c r="D459" s="1"/>
      <c r="R459" s="20"/>
    </row>
    <row r="460">
      <c r="D460" s="1"/>
      <c r="R460" s="20"/>
    </row>
    <row r="461">
      <c r="D461" s="1"/>
      <c r="R461" s="20"/>
    </row>
    <row r="462">
      <c r="D462" s="1"/>
      <c r="R462" s="20"/>
    </row>
    <row r="463">
      <c r="D463" s="1"/>
      <c r="R463" s="20"/>
    </row>
    <row r="464">
      <c r="D464" s="1"/>
      <c r="R464" s="20"/>
    </row>
    <row r="465">
      <c r="D465" s="1"/>
      <c r="R465" s="20"/>
    </row>
    <row r="466">
      <c r="D466" s="1"/>
      <c r="R466" s="20"/>
    </row>
    <row r="467">
      <c r="D467" s="1"/>
      <c r="R467" s="20"/>
    </row>
    <row r="468">
      <c r="D468" s="1"/>
      <c r="R468" s="20"/>
    </row>
    <row r="469">
      <c r="D469" s="1"/>
      <c r="R469" s="20"/>
    </row>
    <row r="470">
      <c r="D470" s="1"/>
      <c r="R470" s="20"/>
    </row>
    <row r="471">
      <c r="D471" s="1"/>
      <c r="R471" s="20"/>
    </row>
    <row r="472">
      <c r="D472" s="1"/>
      <c r="R472" s="20"/>
    </row>
    <row r="473">
      <c r="D473" s="1"/>
      <c r="R473" s="20"/>
    </row>
    <row r="474">
      <c r="D474" s="1"/>
      <c r="R474" s="20"/>
    </row>
    <row r="475">
      <c r="D475" s="1"/>
      <c r="R475" s="20"/>
    </row>
    <row r="476">
      <c r="D476" s="1"/>
      <c r="R476" s="20"/>
    </row>
    <row r="477">
      <c r="D477" s="1"/>
      <c r="R477" s="20"/>
    </row>
    <row r="478">
      <c r="D478" s="1"/>
      <c r="R478" s="20"/>
    </row>
    <row r="479">
      <c r="D479" s="1"/>
      <c r="R479" s="20"/>
    </row>
    <row r="480">
      <c r="D480" s="1"/>
      <c r="R480" s="20"/>
    </row>
    <row r="481">
      <c r="D481" s="1"/>
      <c r="R481" s="20"/>
    </row>
    <row r="482">
      <c r="D482" s="1"/>
      <c r="R482" s="20"/>
    </row>
    <row r="483">
      <c r="D483" s="1"/>
      <c r="R483" s="20"/>
    </row>
    <row r="484">
      <c r="D484" s="1"/>
      <c r="R484" s="20"/>
    </row>
    <row r="485">
      <c r="D485" s="1"/>
      <c r="R485" s="20"/>
    </row>
    <row r="486">
      <c r="D486" s="1"/>
      <c r="R486" s="20"/>
    </row>
    <row r="487">
      <c r="D487" s="1"/>
      <c r="R487" s="20"/>
    </row>
    <row r="488">
      <c r="D488" s="1"/>
      <c r="R488" s="20"/>
    </row>
    <row r="489">
      <c r="D489" s="1"/>
      <c r="R489" s="20"/>
    </row>
    <row r="490">
      <c r="D490" s="1"/>
      <c r="R490" s="20"/>
    </row>
    <row r="491">
      <c r="D491" s="1"/>
      <c r="R491" s="20"/>
    </row>
    <row r="492">
      <c r="D492" s="1"/>
      <c r="R492" s="20"/>
    </row>
    <row r="493">
      <c r="D493" s="1"/>
      <c r="R493" s="20"/>
    </row>
    <row r="494">
      <c r="D494" s="1"/>
      <c r="R494" s="20"/>
    </row>
    <row r="495">
      <c r="D495" s="1"/>
      <c r="R495" s="20"/>
    </row>
    <row r="496">
      <c r="D496" s="1"/>
      <c r="R496" s="20"/>
    </row>
    <row r="497">
      <c r="D497" s="1"/>
      <c r="R497" s="20"/>
    </row>
    <row r="498">
      <c r="D498" s="1"/>
      <c r="R498" s="20"/>
    </row>
    <row r="499">
      <c r="D499" s="1"/>
      <c r="R499" s="20"/>
    </row>
    <row r="500">
      <c r="D500" s="1"/>
      <c r="R500" s="20"/>
    </row>
    <row r="501">
      <c r="D501" s="1"/>
      <c r="R501" s="20"/>
    </row>
    <row r="502">
      <c r="D502" s="1"/>
      <c r="R502" s="20"/>
    </row>
    <row r="503">
      <c r="D503" s="1"/>
      <c r="R503" s="20"/>
    </row>
    <row r="504">
      <c r="D504" s="1"/>
      <c r="R504" s="20"/>
    </row>
    <row r="505">
      <c r="D505" s="1"/>
      <c r="R505" s="20"/>
    </row>
    <row r="506">
      <c r="D506" s="1"/>
      <c r="R506" s="20"/>
    </row>
    <row r="507">
      <c r="D507" s="1"/>
      <c r="R507" s="20"/>
    </row>
    <row r="508">
      <c r="D508" s="1"/>
      <c r="R508" s="20"/>
    </row>
    <row r="509">
      <c r="D509" s="1"/>
      <c r="R509" s="20"/>
    </row>
    <row r="510">
      <c r="D510" s="1"/>
      <c r="R510" s="20"/>
    </row>
    <row r="511">
      <c r="D511" s="1"/>
      <c r="R511" s="20"/>
    </row>
    <row r="512">
      <c r="D512" s="1"/>
      <c r="R512" s="20"/>
    </row>
    <row r="513">
      <c r="D513" s="1"/>
      <c r="R513" s="20"/>
    </row>
    <row r="514">
      <c r="D514" s="1"/>
      <c r="R514" s="20"/>
    </row>
    <row r="515">
      <c r="D515" s="1"/>
      <c r="R515" s="20"/>
    </row>
    <row r="516">
      <c r="D516" s="1"/>
      <c r="R516" s="20"/>
    </row>
    <row r="517">
      <c r="D517" s="1"/>
      <c r="R517" s="20"/>
    </row>
    <row r="518">
      <c r="D518" s="1"/>
      <c r="R518" s="20"/>
    </row>
    <row r="519">
      <c r="D519" s="1"/>
      <c r="R519" s="20"/>
    </row>
    <row r="520">
      <c r="D520" s="1"/>
      <c r="R520" s="20"/>
    </row>
    <row r="521">
      <c r="D521" s="1"/>
      <c r="R521" s="20"/>
    </row>
    <row r="522">
      <c r="D522" s="1"/>
      <c r="R522" s="20"/>
    </row>
    <row r="523">
      <c r="D523" s="1"/>
      <c r="R523" s="20"/>
    </row>
    <row r="524">
      <c r="D524" s="1"/>
      <c r="R524" s="20"/>
    </row>
    <row r="525">
      <c r="D525" s="1"/>
      <c r="R525" s="20"/>
    </row>
    <row r="526">
      <c r="D526" s="1"/>
      <c r="R526" s="20"/>
    </row>
    <row r="527">
      <c r="D527" s="1"/>
      <c r="R527" s="20"/>
    </row>
    <row r="528">
      <c r="D528" s="1"/>
      <c r="R528" s="20"/>
    </row>
    <row r="529">
      <c r="D529" s="1"/>
      <c r="R529" s="20"/>
    </row>
    <row r="530">
      <c r="D530" s="1"/>
      <c r="R530" s="20"/>
    </row>
    <row r="531">
      <c r="D531" s="1"/>
      <c r="R531" s="20"/>
    </row>
    <row r="532">
      <c r="D532" s="1"/>
      <c r="R532" s="20"/>
    </row>
    <row r="533">
      <c r="D533" s="1"/>
      <c r="R533" s="20"/>
    </row>
    <row r="534">
      <c r="D534" s="1"/>
      <c r="R534" s="20"/>
    </row>
    <row r="535">
      <c r="D535" s="1"/>
      <c r="R535" s="20"/>
    </row>
    <row r="536">
      <c r="D536" s="1"/>
      <c r="R536" s="20"/>
    </row>
    <row r="537">
      <c r="D537" s="1"/>
      <c r="R537" s="20"/>
    </row>
    <row r="538">
      <c r="D538" s="1"/>
      <c r="R538" s="20"/>
    </row>
    <row r="539">
      <c r="D539" s="1"/>
      <c r="R539" s="20"/>
    </row>
    <row r="540">
      <c r="D540" s="1"/>
      <c r="R540" s="20"/>
    </row>
    <row r="541">
      <c r="D541" s="1"/>
      <c r="R541" s="20"/>
    </row>
    <row r="542">
      <c r="D542" s="1"/>
      <c r="R542" s="20"/>
    </row>
    <row r="543">
      <c r="D543" s="1"/>
      <c r="R543" s="20"/>
    </row>
    <row r="544">
      <c r="D544" s="1"/>
      <c r="R544" s="20"/>
    </row>
    <row r="545">
      <c r="D545" s="1"/>
      <c r="R545" s="20"/>
    </row>
    <row r="546">
      <c r="D546" s="1"/>
      <c r="R546" s="20"/>
    </row>
    <row r="547">
      <c r="D547" s="1"/>
      <c r="R547" s="20"/>
    </row>
    <row r="548">
      <c r="D548" s="1"/>
      <c r="R548" s="20"/>
    </row>
    <row r="549">
      <c r="D549" s="1"/>
      <c r="R549" s="20"/>
    </row>
    <row r="550">
      <c r="D550" s="1"/>
      <c r="R550" s="20"/>
    </row>
    <row r="551">
      <c r="D551" s="1"/>
      <c r="R551" s="20"/>
    </row>
    <row r="552">
      <c r="D552" s="1"/>
      <c r="R552" s="20"/>
    </row>
    <row r="553">
      <c r="D553" s="1"/>
      <c r="R553" s="20"/>
    </row>
    <row r="554">
      <c r="D554" s="1"/>
      <c r="R554" s="20"/>
    </row>
    <row r="555">
      <c r="D555" s="1"/>
      <c r="R555" s="20"/>
    </row>
    <row r="556">
      <c r="D556" s="1"/>
      <c r="R556" s="20"/>
    </row>
    <row r="557">
      <c r="D557" s="1"/>
      <c r="R557" s="20"/>
    </row>
    <row r="558">
      <c r="D558" s="1"/>
      <c r="R558" s="20"/>
    </row>
    <row r="559">
      <c r="D559" s="1"/>
      <c r="R559" s="20"/>
    </row>
    <row r="560">
      <c r="D560" s="1"/>
      <c r="R560" s="20"/>
    </row>
    <row r="561">
      <c r="D561" s="1"/>
      <c r="R561" s="20"/>
    </row>
    <row r="562">
      <c r="D562" s="1"/>
      <c r="R562" s="20"/>
    </row>
    <row r="563">
      <c r="D563" s="1"/>
      <c r="R563" s="20"/>
    </row>
    <row r="564">
      <c r="D564" s="1"/>
      <c r="R564" s="20"/>
    </row>
    <row r="565">
      <c r="D565" s="1"/>
      <c r="R565" s="20"/>
    </row>
    <row r="566">
      <c r="D566" s="1"/>
      <c r="R566" s="20"/>
    </row>
    <row r="567">
      <c r="D567" s="1"/>
      <c r="R567" s="20"/>
    </row>
    <row r="568">
      <c r="D568" s="1"/>
      <c r="R568" s="20"/>
    </row>
    <row r="569">
      <c r="D569" s="1"/>
      <c r="R569" s="20"/>
    </row>
    <row r="570">
      <c r="D570" s="1"/>
      <c r="R570" s="20"/>
    </row>
    <row r="571">
      <c r="D571" s="1"/>
      <c r="R571" s="20"/>
    </row>
    <row r="572">
      <c r="D572" s="1"/>
      <c r="R572" s="20"/>
    </row>
    <row r="573">
      <c r="D573" s="1"/>
      <c r="R573" s="20"/>
    </row>
    <row r="574">
      <c r="D574" s="1"/>
      <c r="R574" s="20"/>
    </row>
    <row r="575">
      <c r="D575" s="1"/>
      <c r="R575" s="20"/>
    </row>
    <row r="576">
      <c r="D576" s="1"/>
      <c r="R576" s="20"/>
    </row>
    <row r="577">
      <c r="D577" s="1"/>
      <c r="R577" s="20"/>
    </row>
    <row r="578">
      <c r="D578" s="1"/>
      <c r="R578" s="20"/>
    </row>
    <row r="579">
      <c r="D579" s="1"/>
      <c r="R579" s="20"/>
    </row>
    <row r="580">
      <c r="D580" s="1"/>
      <c r="R580" s="20"/>
    </row>
    <row r="581">
      <c r="D581" s="1"/>
      <c r="R581" s="20"/>
    </row>
    <row r="582">
      <c r="D582" s="1"/>
      <c r="R582" s="20"/>
    </row>
    <row r="583">
      <c r="D583" s="1"/>
      <c r="R583" s="20"/>
    </row>
    <row r="584">
      <c r="D584" s="1"/>
      <c r="R584" s="20"/>
    </row>
    <row r="585">
      <c r="D585" s="1"/>
      <c r="R585" s="20"/>
    </row>
    <row r="586">
      <c r="D586" s="1"/>
      <c r="R586" s="20"/>
    </row>
    <row r="587">
      <c r="D587" s="1"/>
      <c r="R587" s="20"/>
    </row>
    <row r="588">
      <c r="D588" s="1"/>
      <c r="R588" s="20"/>
    </row>
    <row r="589">
      <c r="D589" s="1"/>
      <c r="R589" s="20"/>
    </row>
    <row r="590">
      <c r="D590" s="1"/>
      <c r="R590" s="20"/>
    </row>
    <row r="591">
      <c r="D591" s="1"/>
      <c r="R591" s="20"/>
    </row>
    <row r="592">
      <c r="D592" s="1"/>
      <c r="R592" s="20"/>
    </row>
    <row r="593">
      <c r="D593" s="1"/>
      <c r="R593" s="20"/>
    </row>
    <row r="594">
      <c r="D594" s="1"/>
      <c r="R594" s="20"/>
    </row>
    <row r="595">
      <c r="D595" s="1"/>
      <c r="R595" s="20"/>
    </row>
    <row r="596">
      <c r="D596" s="1"/>
      <c r="R596" s="20"/>
    </row>
    <row r="597">
      <c r="D597" s="1"/>
      <c r="R597" s="20"/>
    </row>
    <row r="598">
      <c r="D598" s="1"/>
      <c r="R598" s="20"/>
    </row>
    <row r="599">
      <c r="D599" s="1"/>
      <c r="R599" s="20"/>
    </row>
    <row r="600">
      <c r="D600" s="1"/>
      <c r="R600" s="20"/>
    </row>
    <row r="601">
      <c r="D601" s="1"/>
      <c r="R601" s="20"/>
    </row>
    <row r="602">
      <c r="D602" s="1"/>
      <c r="R602" s="20"/>
    </row>
    <row r="603">
      <c r="D603" s="1"/>
      <c r="R603" s="20"/>
    </row>
    <row r="604">
      <c r="D604" s="1"/>
      <c r="R604" s="20"/>
    </row>
    <row r="605">
      <c r="D605" s="1"/>
      <c r="R605" s="20"/>
    </row>
    <row r="606">
      <c r="D606" s="1"/>
      <c r="R606" s="20"/>
    </row>
    <row r="607">
      <c r="D607" s="1"/>
      <c r="R607" s="20"/>
    </row>
    <row r="608">
      <c r="D608" s="1"/>
      <c r="R608" s="20"/>
    </row>
    <row r="609">
      <c r="D609" s="1"/>
      <c r="R609" s="20"/>
    </row>
    <row r="610">
      <c r="D610" s="1"/>
      <c r="R610" s="20"/>
    </row>
    <row r="611">
      <c r="D611" s="1"/>
      <c r="R611" s="20"/>
    </row>
    <row r="612">
      <c r="D612" s="1"/>
      <c r="R612" s="20"/>
    </row>
    <row r="613">
      <c r="D613" s="1"/>
      <c r="R613" s="20"/>
    </row>
    <row r="614">
      <c r="D614" s="1"/>
      <c r="R614" s="20"/>
    </row>
    <row r="615">
      <c r="D615" s="1"/>
      <c r="R615" s="20"/>
    </row>
    <row r="616">
      <c r="D616" s="1"/>
      <c r="R616" s="20"/>
    </row>
    <row r="617">
      <c r="D617" s="1"/>
      <c r="R617" s="20"/>
    </row>
    <row r="618">
      <c r="D618" s="1"/>
      <c r="R618" s="20"/>
    </row>
    <row r="619">
      <c r="D619" s="1"/>
      <c r="R619" s="20"/>
    </row>
    <row r="620">
      <c r="D620" s="1"/>
      <c r="R620" s="20"/>
    </row>
    <row r="621">
      <c r="D621" s="1"/>
      <c r="R621" s="20"/>
    </row>
    <row r="622">
      <c r="D622" s="1"/>
      <c r="R622" s="20"/>
    </row>
    <row r="623">
      <c r="D623" s="1"/>
      <c r="R623" s="20"/>
    </row>
    <row r="624">
      <c r="D624" s="1"/>
      <c r="R624" s="20"/>
    </row>
    <row r="625">
      <c r="D625" s="1"/>
      <c r="R625" s="20"/>
    </row>
    <row r="626">
      <c r="D626" s="1"/>
      <c r="R626" s="20"/>
    </row>
    <row r="627">
      <c r="D627" s="1"/>
      <c r="R627" s="20"/>
    </row>
    <row r="628">
      <c r="D628" s="1"/>
      <c r="R628" s="20"/>
    </row>
    <row r="629">
      <c r="D629" s="1"/>
      <c r="R629" s="20"/>
    </row>
    <row r="630">
      <c r="D630" s="1"/>
      <c r="R630" s="20"/>
    </row>
    <row r="631">
      <c r="D631" s="1"/>
      <c r="R631" s="20"/>
    </row>
    <row r="632">
      <c r="D632" s="1"/>
      <c r="R632" s="20"/>
    </row>
    <row r="633">
      <c r="D633" s="1"/>
      <c r="R633" s="20"/>
    </row>
    <row r="634">
      <c r="D634" s="1"/>
      <c r="R634" s="20"/>
    </row>
    <row r="635">
      <c r="D635" s="1"/>
      <c r="R635" s="20"/>
    </row>
    <row r="636">
      <c r="D636" s="1"/>
      <c r="R636" s="20"/>
    </row>
    <row r="637">
      <c r="D637" s="1"/>
      <c r="R637" s="20"/>
    </row>
    <row r="638">
      <c r="D638" s="1"/>
      <c r="R638" s="20"/>
    </row>
    <row r="639">
      <c r="D639" s="1"/>
      <c r="R639" s="20"/>
    </row>
    <row r="640">
      <c r="D640" s="1"/>
      <c r="R640" s="20"/>
    </row>
    <row r="641">
      <c r="D641" s="1"/>
      <c r="R641" s="20"/>
    </row>
    <row r="642">
      <c r="D642" s="1"/>
      <c r="R642" s="20"/>
    </row>
    <row r="643">
      <c r="D643" s="1"/>
      <c r="R643" s="20"/>
    </row>
    <row r="644">
      <c r="D644" s="1"/>
      <c r="R644" s="20"/>
    </row>
    <row r="645">
      <c r="D645" s="1"/>
      <c r="R645" s="20"/>
    </row>
    <row r="646">
      <c r="D646" s="1"/>
      <c r="R646" s="20"/>
    </row>
    <row r="647">
      <c r="D647" s="1"/>
      <c r="R647" s="20"/>
    </row>
    <row r="648">
      <c r="D648" s="1"/>
      <c r="R648" s="20"/>
    </row>
    <row r="649">
      <c r="D649" s="1"/>
      <c r="R649" s="20"/>
    </row>
    <row r="650">
      <c r="D650" s="1"/>
      <c r="R650" s="20"/>
    </row>
    <row r="651">
      <c r="D651" s="1"/>
      <c r="R651" s="20"/>
    </row>
    <row r="652">
      <c r="D652" s="1"/>
      <c r="R652" s="20"/>
    </row>
    <row r="653">
      <c r="D653" s="1"/>
      <c r="R653" s="20"/>
    </row>
    <row r="654">
      <c r="D654" s="1"/>
      <c r="R654" s="20"/>
    </row>
    <row r="655">
      <c r="D655" s="1"/>
      <c r="R655" s="20"/>
    </row>
    <row r="656">
      <c r="D656" s="1"/>
      <c r="R656" s="20"/>
    </row>
    <row r="657">
      <c r="D657" s="1"/>
      <c r="R657" s="20"/>
    </row>
    <row r="658">
      <c r="D658" s="1"/>
      <c r="R658" s="20"/>
    </row>
    <row r="659">
      <c r="D659" s="1"/>
      <c r="R659" s="20"/>
    </row>
    <row r="660">
      <c r="D660" s="1"/>
      <c r="R660" s="20"/>
    </row>
    <row r="661">
      <c r="D661" s="1"/>
      <c r="R661" s="20"/>
    </row>
    <row r="662">
      <c r="D662" s="1"/>
      <c r="R662" s="20"/>
    </row>
    <row r="663">
      <c r="D663" s="1"/>
      <c r="R663" s="20"/>
    </row>
    <row r="664">
      <c r="D664" s="1"/>
      <c r="R664" s="20"/>
    </row>
    <row r="665">
      <c r="D665" s="1"/>
      <c r="R665" s="20"/>
    </row>
    <row r="666">
      <c r="D666" s="1"/>
      <c r="R666" s="20"/>
    </row>
    <row r="667">
      <c r="D667" s="1"/>
      <c r="R667" s="20"/>
    </row>
    <row r="668">
      <c r="D668" s="1"/>
      <c r="R668" s="20"/>
    </row>
    <row r="669">
      <c r="D669" s="1"/>
      <c r="R669" s="20"/>
    </row>
    <row r="670">
      <c r="D670" s="1"/>
      <c r="R670" s="20"/>
    </row>
    <row r="671">
      <c r="D671" s="1"/>
      <c r="R671" s="20"/>
    </row>
    <row r="672">
      <c r="D672" s="1"/>
      <c r="R672" s="20"/>
    </row>
    <row r="673">
      <c r="D673" s="1"/>
      <c r="R673" s="20"/>
    </row>
    <row r="674">
      <c r="D674" s="1"/>
      <c r="R674" s="20"/>
    </row>
    <row r="675">
      <c r="D675" s="1"/>
      <c r="R675" s="20"/>
    </row>
    <row r="676">
      <c r="D676" s="1"/>
      <c r="R676" s="20"/>
    </row>
    <row r="677">
      <c r="D677" s="1"/>
      <c r="R677" s="20"/>
    </row>
    <row r="678">
      <c r="D678" s="1"/>
      <c r="R678" s="20"/>
    </row>
    <row r="679">
      <c r="D679" s="1"/>
      <c r="R679" s="20"/>
    </row>
    <row r="680">
      <c r="D680" s="1"/>
      <c r="R680" s="20"/>
    </row>
    <row r="681">
      <c r="D681" s="1"/>
      <c r="R681" s="20"/>
    </row>
    <row r="682">
      <c r="D682" s="1"/>
      <c r="R682" s="20"/>
    </row>
    <row r="683">
      <c r="D683" s="1"/>
      <c r="R683" s="20"/>
    </row>
    <row r="684">
      <c r="D684" s="1"/>
      <c r="R684" s="20"/>
    </row>
    <row r="685">
      <c r="D685" s="1"/>
      <c r="R685" s="20"/>
    </row>
    <row r="686">
      <c r="D686" s="1"/>
      <c r="R686" s="20"/>
    </row>
    <row r="687">
      <c r="D687" s="1"/>
      <c r="R687" s="20"/>
    </row>
    <row r="688">
      <c r="D688" s="1"/>
      <c r="R688" s="20"/>
    </row>
    <row r="689">
      <c r="D689" s="1"/>
      <c r="R689" s="20"/>
    </row>
    <row r="690">
      <c r="D690" s="1"/>
      <c r="R690" s="20"/>
    </row>
    <row r="691">
      <c r="D691" s="1"/>
      <c r="R691" s="20"/>
    </row>
    <row r="692">
      <c r="D692" s="1"/>
      <c r="R692" s="20"/>
    </row>
    <row r="693">
      <c r="D693" s="1"/>
      <c r="R693" s="20"/>
    </row>
    <row r="694">
      <c r="D694" s="1"/>
      <c r="R694" s="20"/>
    </row>
    <row r="695">
      <c r="D695" s="1"/>
      <c r="R695" s="20"/>
    </row>
    <row r="696">
      <c r="D696" s="1"/>
      <c r="R696" s="20"/>
    </row>
    <row r="697">
      <c r="D697" s="1"/>
      <c r="R697" s="20"/>
    </row>
    <row r="698">
      <c r="D698" s="1"/>
      <c r="R698" s="20"/>
    </row>
    <row r="699">
      <c r="D699" s="1"/>
      <c r="R699" s="20"/>
    </row>
    <row r="700">
      <c r="D700" s="1"/>
      <c r="R700" s="20"/>
    </row>
    <row r="701">
      <c r="D701" s="1"/>
      <c r="R701" s="20"/>
    </row>
    <row r="702">
      <c r="D702" s="1"/>
      <c r="R702" s="20"/>
    </row>
    <row r="703">
      <c r="D703" s="1"/>
      <c r="R703" s="20"/>
    </row>
    <row r="704">
      <c r="D704" s="1"/>
      <c r="R704" s="20"/>
    </row>
    <row r="705">
      <c r="D705" s="1"/>
      <c r="R705" s="20"/>
    </row>
    <row r="706">
      <c r="D706" s="1"/>
      <c r="R706" s="20"/>
    </row>
    <row r="707">
      <c r="D707" s="1"/>
      <c r="R707" s="20"/>
    </row>
    <row r="708">
      <c r="D708" s="1"/>
      <c r="R708" s="20"/>
    </row>
    <row r="709">
      <c r="D709" s="1"/>
      <c r="R709" s="20"/>
    </row>
    <row r="710">
      <c r="D710" s="1"/>
      <c r="R710" s="20"/>
    </row>
    <row r="711">
      <c r="D711" s="1"/>
      <c r="R711" s="20"/>
    </row>
    <row r="712">
      <c r="D712" s="1"/>
      <c r="R712" s="20"/>
    </row>
    <row r="713">
      <c r="D713" s="1"/>
      <c r="R713" s="20"/>
    </row>
    <row r="714">
      <c r="D714" s="1"/>
      <c r="R714" s="20"/>
    </row>
    <row r="715">
      <c r="D715" s="1"/>
      <c r="R715" s="20"/>
    </row>
    <row r="716">
      <c r="D716" s="1"/>
      <c r="R716" s="20"/>
    </row>
    <row r="717">
      <c r="D717" s="1"/>
      <c r="R717" s="20"/>
    </row>
    <row r="718">
      <c r="D718" s="1"/>
      <c r="R718" s="20"/>
    </row>
    <row r="719">
      <c r="D719" s="1"/>
      <c r="R719" s="20"/>
    </row>
    <row r="720">
      <c r="D720" s="1"/>
      <c r="R720" s="20"/>
    </row>
    <row r="721">
      <c r="D721" s="1"/>
      <c r="R721" s="20"/>
    </row>
    <row r="722">
      <c r="D722" s="1"/>
      <c r="R722" s="20"/>
    </row>
    <row r="723">
      <c r="D723" s="1"/>
      <c r="R723" s="20"/>
    </row>
    <row r="724">
      <c r="D724" s="1"/>
      <c r="R724" s="20"/>
    </row>
    <row r="725">
      <c r="D725" s="1"/>
      <c r="R725" s="20"/>
    </row>
    <row r="726">
      <c r="D726" s="1"/>
      <c r="R726" s="20"/>
    </row>
    <row r="727">
      <c r="D727" s="1"/>
      <c r="R727" s="20"/>
    </row>
    <row r="728">
      <c r="D728" s="1"/>
      <c r="R728" s="20"/>
    </row>
    <row r="729">
      <c r="D729" s="1"/>
      <c r="R729" s="20"/>
    </row>
    <row r="730">
      <c r="D730" s="1"/>
      <c r="R730" s="20"/>
    </row>
    <row r="731">
      <c r="D731" s="1"/>
      <c r="R731" s="20"/>
    </row>
    <row r="732">
      <c r="D732" s="1"/>
      <c r="R732" s="20"/>
    </row>
    <row r="733">
      <c r="D733" s="1"/>
      <c r="R733" s="20"/>
    </row>
    <row r="734">
      <c r="D734" s="1"/>
      <c r="R734" s="20"/>
    </row>
    <row r="735">
      <c r="D735" s="1"/>
      <c r="R735" s="20"/>
    </row>
    <row r="736">
      <c r="D736" s="1"/>
      <c r="R736" s="20"/>
    </row>
    <row r="737">
      <c r="D737" s="1"/>
      <c r="R737" s="20"/>
    </row>
    <row r="738">
      <c r="D738" s="1"/>
      <c r="R738" s="20"/>
    </row>
    <row r="739">
      <c r="D739" s="1"/>
      <c r="R739" s="20"/>
    </row>
    <row r="740">
      <c r="D740" s="1"/>
      <c r="R740" s="20"/>
    </row>
    <row r="741">
      <c r="D741" s="1"/>
      <c r="R741" s="20"/>
    </row>
    <row r="742">
      <c r="D742" s="1"/>
      <c r="R742" s="20"/>
    </row>
    <row r="743">
      <c r="D743" s="1"/>
      <c r="R743" s="20"/>
    </row>
    <row r="744">
      <c r="D744" s="1"/>
      <c r="R744" s="20"/>
    </row>
    <row r="745">
      <c r="D745" s="1"/>
      <c r="R745" s="20"/>
    </row>
    <row r="746">
      <c r="D746" s="1"/>
      <c r="R746" s="20"/>
    </row>
    <row r="747">
      <c r="D747" s="1"/>
      <c r="R747" s="20"/>
    </row>
    <row r="748">
      <c r="D748" s="1"/>
      <c r="R748" s="20"/>
    </row>
    <row r="749">
      <c r="D749" s="1"/>
      <c r="R749" s="20"/>
    </row>
    <row r="750">
      <c r="D750" s="1"/>
      <c r="R750" s="20"/>
    </row>
    <row r="751">
      <c r="D751" s="1"/>
      <c r="R751" s="20"/>
    </row>
    <row r="752">
      <c r="D752" s="1"/>
      <c r="R752" s="20"/>
    </row>
    <row r="753">
      <c r="D753" s="1"/>
      <c r="R753" s="20"/>
    </row>
    <row r="754">
      <c r="D754" s="1"/>
      <c r="R754" s="20"/>
    </row>
    <row r="755">
      <c r="D755" s="1"/>
      <c r="R755" s="20"/>
    </row>
    <row r="756">
      <c r="D756" s="1"/>
      <c r="R756" s="20"/>
    </row>
    <row r="757">
      <c r="D757" s="1"/>
      <c r="R757" s="20"/>
    </row>
    <row r="758">
      <c r="D758" s="1"/>
      <c r="R758" s="20"/>
    </row>
    <row r="759">
      <c r="D759" s="1"/>
      <c r="R759" s="20"/>
    </row>
    <row r="760">
      <c r="D760" s="1"/>
      <c r="R760" s="20"/>
    </row>
    <row r="761">
      <c r="D761" s="1"/>
      <c r="R761" s="20"/>
    </row>
    <row r="762">
      <c r="D762" s="1"/>
      <c r="R762" s="20"/>
    </row>
    <row r="763">
      <c r="D763" s="1"/>
      <c r="R763" s="20"/>
    </row>
    <row r="764">
      <c r="D764" s="1"/>
      <c r="R764" s="20"/>
    </row>
    <row r="765">
      <c r="D765" s="1"/>
      <c r="R765" s="20"/>
    </row>
    <row r="766">
      <c r="D766" s="1"/>
      <c r="R766" s="20"/>
    </row>
    <row r="767">
      <c r="D767" s="1"/>
      <c r="R767" s="20"/>
    </row>
    <row r="768">
      <c r="D768" s="1"/>
      <c r="R768" s="20"/>
    </row>
    <row r="769">
      <c r="D769" s="1"/>
      <c r="R769" s="20"/>
    </row>
    <row r="770">
      <c r="D770" s="1"/>
      <c r="R770" s="20"/>
    </row>
    <row r="771">
      <c r="D771" s="1"/>
      <c r="R771" s="20"/>
    </row>
    <row r="772">
      <c r="D772" s="1"/>
      <c r="R772" s="20"/>
    </row>
    <row r="773">
      <c r="D773" s="1"/>
      <c r="R773" s="20"/>
    </row>
    <row r="774">
      <c r="D774" s="1"/>
      <c r="R774" s="20"/>
    </row>
    <row r="775">
      <c r="D775" s="1"/>
      <c r="R775" s="20"/>
    </row>
    <row r="776">
      <c r="D776" s="1"/>
      <c r="R776" s="20"/>
    </row>
    <row r="777">
      <c r="D777" s="1"/>
      <c r="R777" s="20"/>
    </row>
    <row r="778">
      <c r="D778" s="1"/>
      <c r="R778" s="20"/>
    </row>
    <row r="779">
      <c r="D779" s="1"/>
      <c r="R779" s="20"/>
    </row>
    <row r="780">
      <c r="D780" s="1"/>
      <c r="R780" s="20"/>
    </row>
    <row r="781">
      <c r="D781" s="1"/>
      <c r="R781" s="20"/>
    </row>
    <row r="782">
      <c r="D782" s="1"/>
      <c r="R782" s="20"/>
    </row>
    <row r="783">
      <c r="D783" s="1"/>
      <c r="R783" s="20"/>
    </row>
    <row r="784">
      <c r="D784" s="1"/>
      <c r="R784" s="20"/>
    </row>
    <row r="785">
      <c r="D785" s="1"/>
      <c r="R785" s="20"/>
    </row>
    <row r="786">
      <c r="D786" s="1"/>
      <c r="R786" s="20"/>
    </row>
    <row r="787">
      <c r="D787" s="1"/>
      <c r="R787" s="20"/>
    </row>
    <row r="788">
      <c r="D788" s="1"/>
      <c r="R788" s="20"/>
    </row>
    <row r="789">
      <c r="D789" s="1"/>
      <c r="R789" s="20"/>
    </row>
    <row r="790">
      <c r="D790" s="1"/>
      <c r="R790" s="20"/>
    </row>
    <row r="791">
      <c r="D791" s="1"/>
      <c r="R791" s="20"/>
    </row>
    <row r="792">
      <c r="D792" s="1"/>
      <c r="R792" s="20"/>
    </row>
    <row r="793">
      <c r="D793" s="1"/>
      <c r="R793" s="20"/>
    </row>
    <row r="794">
      <c r="D794" s="1"/>
      <c r="R794" s="20"/>
    </row>
    <row r="795">
      <c r="D795" s="1"/>
      <c r="R795" s="20"/>
    </row>
    <row r="796">
      <c r="D796" s="1"/>
      <c r="R796" s="20"/>
    </row>
    <row r="797">
      <c r="D797" s="1"/>
      <c r="R797" s="20"/>
    </row>
    <row r="798">
      <c r="D798" s="1"/>
      <c r="R798" s="20"/>
    </row>
    <row r="799">
      <c r="D799" s="1"/>
      <c r="R799" s="20"/>
    </row>
    <row r="800">
      <c r="D800" s="1"/>
      <c r="R800" s="20"/>
    </row>
    <row r="801">
      <c r="D801" s="1"/>
      <c r="R801" s="20"/>
    </row>
    <row r="802">
      <c r="D802" s="1"/>
      <c r="R802" s="20"/>
    </row>
    <row r="803">
      <c r="D803" s="1"/>
      <c r="R803" s="20"/>
    </row>
    <row r="804">
      <c r="D804" s="1"/>
      <c r="R804" s="20"/>
    </row>
    <row r="805">
      <c r="D805" s="1"/>
      <c r="R805" s="20"/>
    </row>
    <row r="806">
      <c r="D806" s="1"/>
      <c r="R806" s="20"/>
    </row>
    <row r="807">
      <c r="D807" s="1"/>
      <c r="R807" s="20"/>
    </row>
    <row r="808">
      <c r="D808" s="1"/>
      <c r="R808" s="20"/>
    </row>
    <row r="809">
      <c r="D809" s="1"/>
      <c r="R809" s="20"/>
    </row>
    <row r="810">
      <c r="D810" s="1"/>
      <c r="R810" s="20"/>
    </row>
    <row r="811">
      <c r="D811" s="1"/>
      <c r="R811" s="20"/>
    </row>
    <row r="812">
      <c r="D812" s="1"/>
      <c r="R812" s="20"/>
    </row>
    <row r="813">
      <c r="D813" s="1"/>
      <c r="R813" s="20"/>
    </row>
    <row r="814">
      <c r="D814" s="1"/>
      <c r="R814" s="20"/>
    </row>
    <row r="815">
      <c r="D815" s="1"/>
      <c r="R815" s="20"/>
    </row>
    <row r="816">
      <c r="D816" s="1"/>
      <c r="R816" s="20"/>
    </row>
    <row r="817">
      <c r="D817" s="1"/>
      <c r="R817" s="20"/>
    </row>
    <row r="818">
      <c r="D818" s="1"/>
      <c r="R818" s="20"/>
    </row>
    <row r="819">
      <c r="D819" s="1"/>
      <c r="R819" s="20"/>
    </row>
    <row r="820">
      <c r="D820" s="1"/>
      <c r="R820" s="20"/>
    </row>
    <row r="821">
      <c r="D821" s="1"/>
      <c r="R821" s="20"/>
    </row>
    <row r="822">
      <c r="D822" s="1"/>
      <c r="R822" s="20"/>
    </row>
    <row r="823">
      <c r="D823" s="1"/>
      <c r="R823" s="20"/>
    </row>
    <row r="824">
      <c r="D824" s="1"/>
      <c r="R824" s="20"/>
    </row>
    <row r="825">
      <c r="D825" s="1"/>
      <c r="R825" s="20"/>
    </row>
    <row r="826">
      <c r="D826" s="1"/>
      <c r="R826" s="20"/>
    </row>
    <row r="827">
      <c r="D827" s="1"/>
      <c r="R827" s="20"/>
    </row>
    <row r="828">
      <c r="D828" s="1"/>
      <c r="R828" s="20"/>
    </row>
    <row r="829">
      <c r="D829" s="1"/>
      <c r="R829" s="20"/>
    </row>
    <row r="830">
      <c r="D830" s="1"/>
      <c r="R830" s="20"/>
    </row>
    <row r="831">
      <c r="D831" s="1"/>
      <c r="R831" s="20"/>
    </row>
    <row r="832">
      <c r="D832" s="1"/>
      <c r="R832" s="20"/>
    </row>
    <row r="833">
      <c r="D833" s="1"/>
      <c r="R833" s="20"/>
    </row>
    <row r="834">
      <c r="D834" s="1"/>
      <c r="R834" s="20"/>
    </row>
    <row r="835">
      <c r="D835" s="1"/>
      <c r="R835" s="20"/>
    </row>
    <row r="836">
      <c r="D836" s="1"/>
      <c r="R836" s="20"/>
    </row>
    <row r="837">
      <c r="D837" s="1"/>
      <c r="R837" s="20"/>
    </row>
    <row r="838">
      <c r="D838" s="1"/>
      <c r="R838" s="20"/>
    </row>
    <row r="839">
      <c r="D839" s="1"/>
      <c r="R839" s="20"/>
    </row>
    <row r="840">
      <c r="D840" s="1"/>
      <c r="R840" s="20"/>
    </row>
    <row r="841">
      <c r="D841" s="1"/>
      <c r="R841" s="20"/>
    </row>
    <row r="842">
      <c r="D842" s="1"/>
      <c r="R842" s="20"/>
    </row>
    <row r="843">
      <c r="D843" s="1"/>
      <c r="R843" s="20"/>
    </row>
    <row r="844">
      <c r="D844" s="1"/>
      <c r="R844" s="20"/>
    </row>
    <row r="845">
      <c r="D845" s="1"/>
      <c r="R845" s="20"/>
    </row>
    <row r="846">
      <c r="D846" s="1"/>
      <c r="R846" s="20"/>
    </row>
    <row r="847">
      <c r="D847" s="1"/>
      <c r="R847" s="20"/>
    </row>
    <row r="848">
      <c r="D848" s="1"/>
      <c r="R848" s="20"/>
    </row>
    <row r="849">
      <c r="D849" s="1"/>
      <c r="R849" s="20"/>
    </row>
    <row r="850">
      <c r="D850" s="1"/>
      <c r="R850" s="20"/>
    </row>
    <row r="851">
      <c r="D851" s="1"/>
      <c r="R851" s="20"/>
    </row>
    <row r="852">
      <c r="D852" s="1"/>
      <c r="R852" s="20"/>
    </row>
    <row r="853">
      <c r="D853" s="1"/>
      <c r="R853" s="20"/>
    </row>
    <row r="854">
      <c r="D854" s="1"/>
      <c r="R854" s="20"/>
    </row>
    <row r="855">
      <c r="D855" s="1"/>
      <c r="R855" s="20"/>
    </row>
    <row r="856">
      <c r="D856" s="1"/>
      <c r="R856" s="20"/>
    </row>
    <row r="857">
      <c r="D857" s="1"/>
      <c r="R857" s="20"/>
    </row>
    <row r="858">
      <c r="D858" s="1"/>
      <c r="R858" s="20"/>
    </row>
    <row r="859">
      <c r="D859" s="1"/>
      <c r="R859" s="20"/>
    </row>
    <row r="860">
      <c r="D860" s="1"/>
      <c r="R860" s="20"/>
    </row>
    <row r="861">
      <c r="D861" s="1"/>
      <c r="R861" s="20"/>
    </row>
    <row r="862">
      <c r="D862" s="1"/>
      <c r="R862" s="20"/>
    </row>
    <row r="863">
      <c r="D863" s="1"/>
      <c r="R863" s="20"/>
    </row>
    <row r="864">
      <c r="D864" s="1"/>
      <c r="R864" s="20"/>
    </row>
    <row r="865">
      <c r="D865" s="1"/>
      <c r="R865" s="20"/>
    </row>
    <row r="866">
      <c r="D866" s="1"/>
      <c r="R866" s="20"/>
    </row>
    <row r="867">
      <c r="D867" s="1"/>
      <c r="R867" s="20"/>
    </row>
    <row r="868">
      <c r="D868" s="1"/>
      <c r="R868" s="20"/>
    </row>
    <row r="869">
      <c r="D869" s="1"/>
      <c r="R869" s="20"/>
    </row>
    <row r="870">
      <c r="D870" s="1"/>
      <c r="R870" s="20"/>
    </row>
    <row r="871">
      <c r="D871" s="1"/>
      <c r="R871" s="20"/>
    </row>
    <row r="872">
      <c r="D872" s="1"/>
      <c r="R872" s="20"/>
    </row>
    <row r="873">
      <c r="D873" s="1"/>
      <c r="R873" s="20"/>
    </row>
    <row r="874">
      <c r="D874" s="1"/>
      <c r="R874" s="20"/>
    </row>
    <row r="875">
      <c r="D875" s="1"/>
      <c r="R875" s="20"/>
    </row>
    <row r="876">
      <c r="D876" s="1"/>
      <c r="R876" s="20"/>
    </row>
    <row r="877">
      <c r="D877" s="1"/>
      <c r="R877" s="20"/>
    </row>
    <row r="878">
      <c r="D878" s="1"/>
      <c r="R878" s="20"/>
    </row>
    <row r="879">
      <c r="D879" s="1"/>
      <c r="R879" s="20"/>
    </row>
    <row r="880">
      <c r="D880" s="1"/>
      <c r="R880" s="20"/>
    </row>
    <row r="881">
      <c r="D881" s="1"/>
      <c r="R881" s="20"/>
    </row>
    <row r="882">
      <c r="D882" s="1"/>
      <c r="R882" s="20"/>
    </row>
    <row r="883">
      <c r="D883" s="1"/>
      <c r="R883" s="20"/>
    </row>
    <row r="884">
      <c r="D884" s="1"/>
      <c r="R884" s="20"/>
    </row>
    <row r="885">
      <c r="D885" s="1"/>
      <c r="R885" s="20"/>
    </row>
    <row r="886">
      <c r="D886" s="1"/>
      <c r="R886" s="20"/>
    </row>
    <row r="887">
      <c r="D887" s="1"/>
      <c r="R887" s="20"/>
    </row>
    <row r="888">
      <c r="D888" s="1"/>
      <c r="R888" s="20"/>
    </row>
    <row r="889">
      <c r="D889" s="1"/>
      <c r="R889" s="20"/>
    </row>
    <row r="890">
      <c r="D890" s="1"/>
      <c r="R890" s="20"/>
    </row>
    <row r="891">
      <c r="D891" s="1"/>
      <c r="R891" s="20"/>
    </row>
    <row r="892">
      <c r="D892" s="1"/>
      <c r="R892" s="20"/>
    </row>
    <row r="893">
      <c r="D893" s="1"/>
      <c r="R893" s="20"/>
    </row>
    <row r="894">
      <c r="D894" s="1"/>
      <c r="R894" s="20"/>
    </row>
    <row r="895">
      <c r="D895" s="1"/>
      <c r="R895" s="20"/>
    </row>
    <row r="896">
      <c r="D896" s="1"/>
      <c r="R896" s="20"/>
    </row>
    <row r="897">
      <c r="D897" s="1"/>
      <c r="R897" s="20"/>
    </row>
    <row r="898">
      <c r="D898" s="1"/>
      <c r="R898" s="20"/>
    </row>
    <row r="899">
      <c r="D899" s="1"/>
      <c r="R899" s="20"/>
    </row>
    <row r="900">
      <c r="D900" s="1"/>
      <c r="R900" s="20"/>
    </row>
    <row r="901">
      <c r="D901" s="1"/>
      <c r="R901" s="20"/>
    </row>
    <row r="902">
      <c r="D902" s="1"/>
      <c r="R902" s="20"/>
    </row>
    <row r="903">
      <c r="D903" s="1"/>
      <c r="R903" s="20"/>
    </row>
    <row r="904">
      <c r="D904" s="1"/>
      <c r="R904" s="20"/>
    </row>
    <row r="905">
      <c r="D905" s="1"/>
      <c r="R905" s="20"/>
    </row>
    <row r="906">
      <c r="D906" s="1"/>
      <c r="R906" s="20"/>
    </row>
    <row r="907">
      <c r="D907" s="1"/>
      <c r="R907" s="20"/>
    </row>
    <row r="908">
      <c r="D908" s="1"/>
      <c r="R908" s="20"/>
    </row>
    <row r="909">
      <c r="D909" s="1"/>
      <c r="R909" s="20"/>
    </row>
    <row r="910">
      <c r="D910" s="1"/>
      <c r="R910" s="20"/>
    </row>
    <row r="911">
      <c r="D911" s="1"/>
      <c r="R911" s="20"/>
    </row>
    <row r="912">
      <c r="D912" s="1"/>
      <c r="R912" s="20"/>
    </row>
    <row r="913">
      <c r="D913" s="1"/>
      <c r="R913" s="20"/>
    </row>
    <row r="914">
      <c r="D914" s="1"/>
      <c r="R914" s="20"/>
    </row>
    <row r="915">
      <c r="D915" s="1"/>
      <c r="R915" s="20"/>
    </row>
    <row r="916">
      <c r="D916" s="1"/>
      <c r="R916" s="20"/>
    </row>
    <row r="917">
      <c r="D917" s="1"/>
      <c r="R917" s="20"/>
    </row>
    <row r="918">
      <c r="D918" s="1"/>
      <c r="R918" s="20"/>
    </row>
    <row r="919">
      <c r="D919" s="1"/>
      <c r="R919" s="20"/>
    </row>
    <row r="920">
      <c r="D920" s="1"/>
      <c r="R920" s="20"/>
    </row>
    <row r="921">
      <c r="D921" s="1"/>
      <c r="R921" s="20"/>
    </row>
    <row r="922">
      <c r="D922" s="1"/>
      <c r="R922" s="20"/>
    </row>
    <row r="923">
      <c r="D923" s="1"/>
      <c r="R923" s="20"/>
    </row>
    <row r="924">
      <c r="D924" s="1"/>
      <c r="R924" s="20"/>
    </row>
    <row r="925">
      <c r="D925" s="1"/>
      <c r="R925" s="20"/>
    </row>
    <row r="926">
      <c r="D926" s="1"/>
      <c r="R926" s="20"/>
    </row>
    <row r="927">
      <c r="D927" s="1"/>
      <c r="R927" s="20"/>
    </row>
    <row r="928">
      <c r="D928" s="1"/>
      <c r="R928" s="20"/>
    </row>
    <row r="929">
      <c r="D929" s="1"/>
      <c r="R929" s="20"/>
    </row>
    <row r="930">
      <c r="D930" s="1"/>
      <c r="R930" s="20"/>
    </row>
    <row r="931">
      <c r="D931" s="1"/>
      <c r="R931" s="20"/>
    </row>
    <row r="932">
      <c r="D932" s="1"/>
      <c r="R932" s="20"/>
    </row>
    <row r="933">
      <c r="D933" s="1"/>
      <c r="R933" s="20"/>
    </row>
    <row r="934">
      <c r="D934" s="1"/>
      <c r="R934" s="20"/>
    </row>
    <row r="935">
      <c r="D935" s="1"/>
      <c r="R935" s="20"/>
    </row>
    <row r="936">
      <c r="D936" s="1"/>
      <c r="R936" s="20"/>
    </row>
    <row r="937">
      <c r="D937" s="1"/>
      <c r="R937" s="20"/>
    </row>
    <row r="938">
      <c r="D938" s="1"/>
      <c r="R938" s="20"/>
    </row>
    <row r="939">
      <c r="D939" s="1"/>
      <c r="R939" s="20"/>
    </row>
    <row r="940">
      <c r="D940" s="1"/>
      <c r="R940" s="20"/>
    </row>
    <row r="941">
      <c r="D941" s="1"/>
      <c r="R941" s="20"/>
    </row>
    <row r="942">
      <c r="D942" s="1"/>
      <c r="R942" s="20"/>
    </row>
    <row r="943">
      <c r="D943" s="1"/>
      <c r="R943" s="20"/>
    </row>
    <row r="944">
      <c r="D944" s="1"/>
      <c r="R944" s="20"/>
    </row>
    <row r="945">
      <c r="D945" s="1"/>
      <c r="R945" s="20"/>
    </row>
    <row r="946">
      <c r="D946" s="1"/>
      <c r="R946" s="20"/>
    </row>
    <row r="947">
      <c r="D947" s="1"/>
      <c r="R947" s="20"/>
    </row>
    <row r="948">
      <c r="D948" s="1"/>
      <c r="R948" s="20"/>
    </row>
    <row r="949">
      <c r="D949" s="1"/>
      <c r="R949" s="20"/>
    </row>
    <row r="950">
      <c r="D950" s="1"/>
      <c r="R950" s="20"/>
    </row>
    <row r="951">
      <c r="D951" s="1"/>
      <c r="R951" s="20"/>
    </row>
    <row r="952">
      <c r="D952" s="1"/>
      <c r="R952" s="20"/>
    </row>
    <row r="953">
      <c r="D953" s="1"/>
      <c r="R953" s="20"/>
    </row>
    <row r="954">
      <c r="D954" s="1"/>
      <c r="R954" s="20"/>
    </row>
    <row r="955">
      <c r="D955" s="1"/>
      <c r="R955" s="20"/>
    </row>
    <row r="956">
      <c r="D956" s="1"/>
      <c r="R956" s="20"/>
    </row>
    <row r="957">
      <c r="D957" s="1"/>
      <c r="R957" s="20"/>
    </row>
    <row r="958">
      <c r="D958" s="1"/>
      <c r="R958" s="20"/>
    </row>
    <row r="959">
      <c r="D959" s="1"/>
      <c r="R959" s="20"/>
    </row>
    <row r="960">
      <c r="D960" s="1"/>
      <c r="R960" s="20"/>
    </row>
    <row r="961">
      <c r="D961" s="1"/>
      <c r="R961" s="20"/>
    </row>
    <row r="962">
      <c r="D962" s="1"/>
      <c r="R962" s="20"/>
    </row>
    <row r="963">
      <c r="D963" s="1"/>
      <c r="R963" s="20"/>
    </row>
    <row r="964">
      <c r="D964" s="1"/>
      <c r="R964" s="20"/>
    </row>
    <row r="965">
      <c r="D965" s="1"/>
      <c r="R965" s="20"/>
    </row>
    <row r="966">
      <c r="D966" s="1"/>
      <c r="R966" s="20"/>
    </row>
    <row r="967">
      <c r="D967" s="1"/>
      <c r="R967" s="20"/>
    </row>
    <row r="968">
      <c r="D968" s="1"/>
      <c r="R968" s="20"/>
    </row>
    <row r="969">
      <c r="D969" s="1"/>
      <c r="R969" s="20"/>
    </row>
    <row r="970">
      <c r="D970" s="1"/>
      <c r="R970" s="20"/>
    </row>
    <row r="971">
      <c r="D971" s="1"/>
      <c r="R971" s="20"/>
    </row>
    <row r="972">
      <c r="D972" s="1"/>
      <c r="R972" s="20"/>
    </row>
    <row r="973">
      <c r="D973" s="1"/>
      <c r="R973" s="20"/>
    </row>
    <row r="974">
      <c r="D974" s="1"/>
      <c r="R974" s="20"/>
    </row>
    <row r="975">
      <c r="D975" s="1"/>
      <c r="R975" s="20"/>
    </row>
    <row r="976">
      <c r="D976" s="1"/>
      <c r="R976" s="20"/>
    </row>
    <row r="977">
      <c r="D977" s="1"/>
      <c r="R977" s="20"/>
    </row>
    <row r="978">
      <c r="D978" s="1"/>
      <c r="R978" s="20"/>
    </row>
    <row r="979">
      <c r="D979" s="1"/>
      <c r="R979" s="20"/>
    </row>
    <row r="980">
      <c r="D980" s="1"/>
      <c r="R980" s="20"/>
    </row>
    <row r="981">
      <c r="D981" s="1"/>
      <c r="R981" s="20"/>
    </row>
    <row r="982">
      <c r="D982" s="1"/>
      <c r="R982" s="20"/>
    </row>
    <row r="983">
      <c r="D983" s="1"/>
      <c r="R983" s="20"/>
    </row>
    <row r="984">
      <c r="D984" s="1"/>
      <c r="R984" s="20"/>
    </row>
    <row r="985">
      <c r="D985" s="1"/>
      <c r="R985" s="20"/>
    </row>
    <row r="986">
      <c r="D986" s="1"/>
      <c r="R986" s="20"/>
    </row>
    <row r="987">
      <c r="D987" s="1"/>
      <c r="R987" s="20"/>
    </row>
    <row r="988">
      <c r="D988" s="1"/>
      <c r="R988" s="20"/>
    </row>
    <row r="989">
      <c r="D989" s="1"/>
      <c r="R989" s="20"/>
    </row>
    <row r="990">
      <c r="D990" s="1"/>
      <c r="R990" s="20"/>
    </row>
    <row r="991">
      <c r="D991" s="1"/>
      <c r="R991" s="20"/>
    </row>
    <row r="992">
      <c r="D992" s="1"/>
      <c r="R992" s="20"/>
    </row>
    <row r="993">
      <c r="D993" s="1"/>
      <c r="R993" s="20"/>
    </row>
    <row r="994">
      <c r="D994" s="1"/>
      <c r="R994" s="20"/>
    </row>
    <row r="995">
      <c r="D995" s="1"/>
      <c r="R995" s="20"/>
    </row>
    <row r="996">
      <c r="D996" s="1"/>
      <c r="R996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9.75"/>
    <col customWidth="1" min="2" max="2" width="13.0"/>
    <col customWidth="1" min="3" max="3" width="29.13"/>
    <col customWidth="1" min="4" max="4" width="32.25"/>
    <col customWidth="1" min="5" max="5" width="69.88"/>
    <col customWidth="1" min="6" max="6" width="10.5"/>
    <col customWidth="1" min="7" max="7" width="12.13"/>
    <col customWidth="1" min="8" max="8" width="14.88"/>
    <col customWidth="1" hidden="1" min="9" max="9" width="9.13"/>
    <col customWidth="1" hidden="1" min="10" max="10" width="10.0"/>
    <col customWidth="1" min="11" max="11" width="20.38"/>
    <col customWidth="1" min="12" max="12" width="10.75"/>
    <col customWidth="1" min="13" max="13" width="14.38"/>
    <col customWidth="1" min="14" max="16" width="7.5"/>
    <col customWidth="1" min="17" max="17" width="10.75"/>
    <col customWidth="1" min="18" max="18" width="10.0"/>
    <col customWidth="1" min="19" max="21" width="22.13"/>
    <col customWidth="1" min="22" max="22" width="15.13"/>
    <col customWidth="1" min="23" max="23" width="8.38"/>
    <col customWidth="1" min="24" max="24" width="12.88"/>
    <col customWidth="1" min="25" max="25" width="10.75"/>
    <col customWidth="1" min="26" max="26" width="12.63"/>
    <col customWidth="1" min="27" max="27" width="12.0"/>
    <col customWidth="1" min="28" max="28" width="6.63"/>
    <col customWidth="1" min="29" max="29" width="29.75"/>
    <col customWidth="1" min="30" max="30" width="91.25"/>
    <col customWidth="1" min="35" max="35" width="12.25"/>
    <col customWidth="1" min="36" max="36" width="16.5"/>
    <col customWidth="1" min="37" max="37" width="9.38"/>
    <col customWidth="1" min="38" max="38" width="27.38"/>
    <col customWidth="1" min="39" max="39" width="6.63"/>
    <col customWidth="1" min="41" max="41" width="27.38"/>
    <col customWidth="1" min="42" max="42" width="7.5"/>
  </cols>
  <sheetData>
    <row r="1">
      <c r="A1" s="44"/>
      <c r="B1" s="44"/>
      <c r="C1" s="44"/>
      <c r="D1" s="118"/>
      <c r="E1" s="44"/>
      <c r="F1" s="44"/>
      <c r="G1" s="44"/>
      <c r="H1" s="44"/>
      <c r="I1" s="44"/>
      <c r="J1" s="119"/>
      <c r="K1" s="119"/>
      <c r="L1" s="119" t="s">
        <v>104</v>
      </c>
      <c r="M1" s="44"/>
      <c r="N1" s="44"/>
      <c r="O1" s="44"/>
      <c r="P1" s="44"/>
      <c r="Q1" s="44"/>
      <c r="R1" s="44"/>
      <c r="S1" s="44"/>
      <c r="T1" s="120"/>
      <c r="U1" s="44"/>
      <c r="V1" s="44"/>
      <c r="W1" s="44"/>
      <c r="X1" s="121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</row>
    <row r="2">
      <c r="A2" s="44"/>
      <c r="B2" s="44"/>
      <c r="C2" s="44"/>
      <c r="D2" s="118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122" t="s">
        <v>108</v>
      </c>
      <c r="U2" s="44"/>
      <c r="V2" s="123">
        <v>6000000.0</v>
      </c>
      <c r="W2" s="44"/>
      <c r="X2" s="121"/>
      <c r="Y2" s="119"/>
      <c r="Z2" s="119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</row>
    <row r="3">
      <c r="A3" s="44"/>
      <c r="B3" s="44"/>
      <c r="C3" s="119" t="s">
        <v>105</v>
      </c>
      <c r="D3" s="124"/>
      <c r="E3" s="125"/>
      <c r="F3" s="125"/>
      <c r="G3" s="125"/>
      <c r="H3" s="44"/>
      <c r="I3" s="44"/>
      <c r="J3" s="126"/>
      <c r="K3" s="125" t="s">
        <v>86</v>
      </c>
      <c r="L3" s="126">
        <v>0.15</v>
      </c>
      <c r="M3" s="44"/>
      <c r="N3" s="44"/>
      <c r="O3" s="44"/>
      <c r="P3" s="44"/>
      <c r="Q3" s="44"/>
      <c r="R3" s="44"/>
      <c r="S3" s="44"/>
      <c r="T3" s="119" t="s">
        <v>231</v>
      </c>
      <c r="U3" s="44"/>
      <c r="V3" s="127">
        <f>V2-'Consol List ESOP Given'!D11-'Consol List ESOP Given'!F11</f>
        <v>4434000</v>
      </c>
      <c r="W3" s="120">
        <f>V3/V2</f>
        <v>0.739</v>
      </c>
      <c r="X3" s="121"/>
      <c r="Y3" s="44"/>
      <c r="AA3" s="119" t="s">
        <v>232</v>
      </c>
      <c r="AB3" s="44">
        <f>PERCENTILE(Z11:Z39,0.2)</f>
        <v>6</v>
      </c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</row>
    <row r="4">
      <c r="A4" s="44"/>
      <c r="B4" s="44"/>
      <c r="C4" s="119" t="s">
        <v>106</v>
      </c>
      <c r="D4" s="124"/>
      <c r="E4" s="125"/>
      <c r="F4" s="125"/>
      <c r="G4" s="125"/>
      <c r="H4" s="44"/>
      <c r="I4" s="44"/>
      <c r="J4" s="126"/>
      <c r="K4" s="125" t="s">
        <v>87</v>
      </c>
      <c r="L4" s="126">
        <v>0.6</v>
      </c>
      <c r="M4" s="44"/>
      <c r="N4" s="44"/>
      <c r="O4" s="44"/>
      <c r="P4" s="44"/>
      <c r="Q4" s="44"/>
      <c r="R4" s="44"/>
      <c r="S4" s="44"/>
      <c r="T4" s="119" t="s">
        <v>233</v>
      </c>
      <c r="U4" s="44"/>
      <c r="V4" s="127">
        <f>V3-S9</f>
        <v>3234000</v>
      </c>
      <c r="W4" s="120">
        <f>V4/V2</f>
        <v>0.539</v>
      </c>
      <c r="X4" s="121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</row>
    <row r="5">
      <c r="A5" s="44"/>
      <c r="B5" s="44"/>
      <c r="C5" s="119" t="s">
        <v>107</v>
      </c>
      <c r="D5" s="124"/>
      <c r="E5" s="125"/>
      <c r="F5" s="125"/>
      <c r="G5" s="125"/>
      <c r="H5" s="44"/>
      <c r="I5" s="44"/>
      <c r="J5" s="126"/>
      <c r="K5" s="125" t="s">
        <v>88</v>
      </c>
      <c r="L5" s="126">
        <v>0.25</v>
      </c>
      <c r="M5" s="44"/>
      <c r="N5" s="44"/>
      <c r="O5" s="44"/>
      <c r="P5" s="44"/>
      <c r="Q5" s="44"/>
      <c r="R5" s="44"/>
      <c r="S5" s="44"/>
      <c r="T5" s="128" t="s">
        <v>234</v>
      </c>
      <c r="U5" s="129"/>
      <c r="V5" s="130">
        <f>V3/S9-1</f>
        <v>2.695</v>
      </c>
      <c r="W5" s="44"/>
      <c r="X5" s="131" t="s">
        <v>235</v>
      </c>
      <c r="Y5" s="44">
        <f>Y6/Y42</f>
        <v>0.7</v>
      </c>
      <c r="Z5" s="119">
        <v>0.7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</row>
    <row r="6">
      <c r="A6" s="44"/>
      <c r="B6" s="44"/>
      <c r="C6" s="44"/>
      <c r="D6" s="118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132" t="s">
        <v>236</v>
      </c>
      <c r="U6" s="133"/>
      <c r="V6" s="134">
        <f>V3/Y41-1</f>
        <v>7.283205679</v>
      </c>
      <c r="W6" s="44"/>
      <c r="X6" s="131" t="s">
        <v>237</v>
      </c>
      <c r="Y6" s="119">
        <f>Y42*Z5</f>
        <v>15000</v>
      </c>
      <c r="Z6" s="55" t="s">
        <v>238</v>
      </c>
      <c r="AA6" s="44">
        <f>SUMIF(Z11:Z39,"&lt;7",Y11:Y39)</f>
        <v>256000</v>
      </c>
      <c r="AB6" s="120">
        <f t="shared" ref="AB6:AB7" si="1">AA6/Y$41</f>
        <v>0.4782365029</v>
      </c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</row>
    <row r="7">
      <c r="A7" s="44"/>
      <c r="B7" s="44"/>
      <c r="C7" s="44"/>
      <c r="D7" s="118"/>
      <c r="E7" s="44"/>
      <c r="F7" s="44"/>
      <c r="G7" s="44"/>
      <c r="H7" s="120"/>
      <c r="I7" s="120"/>
      <c r="J7" s="44"/>
      <c r="K7" s="119"/>
      <c r="L7" s="119" t="s">
        <v>109</v>
      </c>
      <c r="M7" s="135">
        <v>45778.0</v>
      </c>
      <c r="N7" s="44"/>
      <c r="O7" s="44"/>
      <c r="P7" s="44"/>
      <c r="Q7" s="44"/>
      <c r="R7" s="122"/>
      <c r="S7" s="44"/>
      <c r="T7" s="44"/>
      <c r="U7" s="44"/>
      <c r="V7" s="44"/>
      <c r="W7" s="44"/>
      <c r="X7" s="55" t="s">
        <v>239</v>
      </c>
      <c r="Y7" s="133">
        <v>2.297802734375</v>
      </c>
      <c r="Z7" s="119" t="s">
        <v>240</v>
      </c>
      <c r="AA7" s="44">
        <f>SUMIF(Z11:Z39,"&gt;14",Y11:Y39)</f>
        <v>121800</v>
      </c>
      <c r="AB7" s="120">
        <f t="shared" si="1"/>
        <v>0.2275359611</v>
      </c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</row>
    <row r="8">
      <c r="A8" s="44"/>
      <c r="B8" s="44"/>
      <c r="C8" s="44"/>
      <c r="D8" s="136"/>
      <c r="E8" s="119"/>
      <c r="F8" s="119"/>
      <c r="G8" s="119"/>
      <c r="H8" s="120"/>
      <c r="I8" s="120"/>
      <c r="J8" s="44"/>
      <c r="K8" s="44"/>
      <c r="L8" s="44"/>
      <c r="M8" s="119" t="s">
        <v>110</v>
      </c>
      <c r="N8" s="119" t="s">
        <v>111</v>
      </c>
      <c r="O8" s="44"/>
      <c r="P8" s="44"/>
      <c r="Q8" s="119" t="s">
        <v>23</v>
      </c>
      <c r="R8" s="120"/>
      <c r="S8" s="119" t="s">
        <v>241</v>
      </c>
      <c r="T8" s="44"/>
      <c r="U8" s="44"/>
      <c r="X8" s="55" t="s">
        <v>242</v>
      </c>
      <c r="Y8" s="55">
        <v>-2.0</v>
      </c>
      <c r="Z8" s="121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</row>
    <row r="9">
      <c r="A9" s="44"/>
      <c r="B9" s="44"/>
      <c r="C9" s="44"/>
      <c r="D9" s="118"/>
      <c r="E9" s="44"/>
      <c r="F9" s="44"/>
      <c r="G9" s="44"/>
      <c r="H9" s="119"/>
      <c r="I9" s="119"/>
      <c r="J9" s="119"/>
      <c r="K9" s="119"/>
      <c r="L9" s="119"/>
      <c r="M9" s="119" t="s">
        <v>104</v>
      </c>
      <c r="N9" s="137">
        <v>0.15</v>
      </c>
      <c r="O9" s="137">
        <v>0.6</v>
      </c>
      <c r="P9" s="137">
        <v>0.25</v>
      </c>
      <c r="Q9" s="44">
        <f>sum(Q11:Q39)</f>
        <v>77.6</v>
      </c>
      <c r="R9" s="120"/>
      <c r="S9" s="123">
        <v>1200000.0</v>
      </c>
      <c r="T9" s="44"/>
      <c r="U9" s="44"/>
      <c r="V9" s="127">
        <f>V41</f>
        <v>598100</v>
      </c>
      <c r="W9" s="138">
        <f>X41</f>
        <v>-62800</v>
      </c>
      <c r="X9" s="55" t="s">
        <v>23</v>
      </c>
      <c r="Y9" s="127">
        <f>Y41</f>
        <v>535300</v>
      </c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</row>
    <row r="10">
      <c r="A10" s="139" t="s">
        <v>243</v>
      </c>
      <c r="B10" s="140" t="s">
        <v>244</v>
      </c>
      <c r="C10" s="141" t="s">
        <v>22</v>
      </c>
      <c r="D10" s="142" t="s">
        <v>160</v>
      </c>
      <c r="E10" s="140" t="s">
        <v>161</v>
      </c>
      <c r="F10" s="140" t="s">
        <v>162</v>
      </c>
      <c r="G10" s="140" t="s">
        <v>163</v>
      </c>
      <c r="H10" s="143" t="s">
        <v>245</v>
      </c>
      <c r="I10" s="144" t="s">
        <v>114</v>
      </c>
      <c r="J10" s="143" t="s">
        <v>246</v>
      </c>
      <c r="K10" s="143" t="s">
        <v>116</v>
      </c>
      <c r="L10" s="143" t="s">
        <v>117</v>
      </c>
      <c r="M10" s="144" t="s">
        <v>247</v>
      </c>
      <c r="N10" s="143" t="s">
        <v>105</v>
      </c>
      <c r="O10" s="143" t="s">
        <v>106</v>
      </c>
      <c r="P10" s="143" t="s">
        <v>107</v>
      </c>
      <c r="Q10" s="143" t="s">
        <v>119</v>
      </c>
      <c r="R10" s="145" t="s">
        <v>120</v>
      </c>
      <c r="S10" s="146" t="s">
        <v>248</v>
      </c>
      <c r="T10" s="147" t="s">
        <v>249</v>
      </c>
      <c r="U10" s="148" t="s">
        <v>250</v>
      </c>
      <c r="V10" s="149" t="s">
        <v>251</v>
      </c>
      <c r="W10" s="24"/>
      <c r="X10" s="32" t="s">
        <v>252</v>
      </c>
      <c r="Y10" s="150" t="s">
        <v>253</v>
      </c>
      <c r="Z10" s="151" t="s">
        <v>254</v>
      </c>
      <c r="AA10" s="44"/>
      <c r="AB10" s="44"/>
      <c r="AC10" s="119" t="s">
        <v>255</v>
      </c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</row>
    <row r="11">
      <c r="A11" s="139" t="s">
        <v>122</v>
      </c>
      <c r="B11" s="152">
        <v>1.0</v>
      </c>
      <c r="C11" s="153" t="s">
        <v>25</v>
      </c>
      <c r="D11" s="154" t="s">
        <v>165</v>
      </c>
      <c r="E11" s="155" t="s">
        <v>166</v>
      </c>
      <c r="F11" s="154" t="s">
        <v>167</v>
      </c>
      <c r="G11" s="155" t="s">
        <v>168</v>
      </c>
      <c r="H11" s="156" t="s">
        <v>256</v>
      </c>
      <c r="I11" s="157"/>
      <c r="J11" s="157"/>
      <c r="K11" s="158">
        <v>42058.0</v>
      </c>
      <c r="L11" s="159">
        <v>42058.0</v>
      </c>
      <c r="M11" s="160">
        <f t="shared" ref="M11:M39" si="2">days(K11,$M$7)/-365</f>
        <v>10.19178082</v>
      </c>
      <c r="N11" s="161">
        <f>vlookup(M11,'Table for Factors'!$C$30:$D$35,2,true)</f>
        <v>4</v>
      </c>
      <c r="O11" s="161">
        <v>4.0</v>
      </c>
      <c r="P11" s="161">
        <v>4.0</v>
      </c>
      <c r="Q11" s="162">
        <f t="shared" ref="Q11:Q38" si="3">SUMPRODUCT(N11:P11,$N$9:$P$9)</f>
        <v>4</v>
      </c>
      <c r="R11" s="163">
        <f t="shared" ref="R11:R38" si="4">Q11/$Q$9</f>
        <v>0.05154639175</v>
      </c>
      <c r="S11" s="164">
        <f t="shared" ref="S11:S38" si="5">R11*$S$9</f>
        <v>61855.6701</v>
      </c>
      <c r="T11" s="162">
        <f t="shared" ref="T11:T38" si="6">Q11/5*60000</f>
        <v>48000</v>
      </c>
      <c r="U11" s="162">
        <f t="shared" ref="U11:U38" si="7">roundup(Q11/Q$41*23000,0)</f>
        <v>35385</v>
      </c>
      <c r="V11" s="165">
        <f t="shared" ref="V11:V38" si="8">roundup(Q11/Q$41*20000,Y$8)</f>
        <v>30800</v>
      </c>
      <c r="W11" s="24"/>
      <c r="X11" s="24">
        <f t="shared" ref="X11:X38" si="9">Y11-V11</f>
        <v>9600</v>
      </c>
      <c r="Y11" s="166">
        <f t="shared" ref="Y11:Y38" si="10">ROUND((Q11/Q$41)^Y$7*Y$6,Y$8)</f>
        <v>40400</v>
      </c>
      <c r="Z11" s="164">
        <f t="shared" ref="Z11:Z38" si="11">RANK(Q11,Q$11:Q$39,0)</f>
        <v>2</v>
      </c>
      <c r="AA11" s="44"/>
      <c r="AB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</row>
    <row r="12">
      <c r="A12" s="139" t="s">
        <v>124</v>
      </c>
      <c r="B12" s="152">
        <v>2.0</v>
      </c>
      <c r="C12" s="153" t="s">
        <v>27</v>
      </c>
      <c r="D12" s="154" t="s">
        <v>169</v>
      </c>
      <c r="E12" s="155" t="s">
        <v>170</v>
      </c>
      <c r="F12" s="154" t="s">
        <v>167</v>
      </c>
      <c r="G12" s="155" t="s">
        <v>171</v>
      </c>
      <c r="H12" s="156" t="s">
        <v>257</v>
      </c>
      <c r="I12" s="157"/>
      <c r="J12" s="157"/>
      <c r="K12" s="158">
        <v>42060.0</v>
      </c>
      <c r="L12" s="159">
        <v>42060.0</v>
      </c>
      <c r="M12" s="160">
        <f t="shared" si="2"/>
        <v>10.18630137</v>
      </c>
      <c r="N12" s="161">
        <f>vlookup(M12,'Table for Factors'!$C$30:$D$35,2,true)</f>
        <v>4</v>
      </c>
      <c r="O12" s="161">
        <v>4.0</v>
      </c>
      <c r="P12" s="161">
        <v>4.0</v>
      </c>
      <c r="Q12" s="162">
        <f t="shared" si="3"/>
        <v>4</v>
      </c>
      <c r="R12" s="163">
        <f t="shared" si="4"/>
        <v>0.05154639175</v>
      </c>
      <c r="S12" s="164">
        <f t="shared" si="5"/>
        <v>61855.6701</v>
      </c>
      <c r="T12" s="162">
        <f t="shared" si="6"/>
        <v>48000</v>
      </c>
      <c r="U12" s="162">
        <f t="shared" si="7"/>
        <v>35385</v>
      </c>
      <c r="V12" s="165">
        <f t="shared" si="8"/>
        <v>30800</v>
      </c>
      <c r="W12" s="24"/>
      <c r="X12" s="24">
        <f t="shared" si="9"/>
        <v>9600</v>
      </c>
      <c r="Y12" s="166">
        <f t="shared" si="10"/>
        <v>40400</v>
      </c>
      <c r="Z12" s="164">
        <f t="shared" si="11"/>
        <v>2</v>
      </c>
      <c r="AA12" s="44"/>
      <c r="AB12" s="44"/>
      <c r="AC12" s="167" t="s">
        <v>258</v>
      </c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</row>
    <row r="13">
      <c r="A13" s="139" t="s">
        <v>126</v>
      </c>
      <c r="B13" s="152">
        <v>3.0</v>
      </c>
      <c r="C13" s="153" t="s">
        <v>29</v>
      </c>
      <c r="D13" s="154" t="s">
        <v>172</v>
      </c>
      <c r="E13" s="155" t="s">
        <v>173</v>
      </c>
      <c r="F13" s="154" t="s">
        <v>167</v>
      </c>
      <c r="G13" s="155" t="s">
        <v>174</v>
      </c>
      <c r="H13" s="156" t="s">
        <v>259</v>
      </c>
      <c r="I13" s="157"/>
      <c r="J13" s="157"/>
      <c r="K13" s="158">
        <v>43283.0</v>
      </c>
      <c r="L13" s="159">
        <v>43283.0</v>
      </c>
      <c r="M13" s="160">
        <f t="shared" si="2"/>
        <v>6.835616438</v>
      </c>
      <c r="N13" s="161">
        <f>vlookup(M13,'Table for Factors'!$C$30:$D$35,2,true)</f>
        <v>2</v>
      </c>
      <c r="O13" s="161">
        <v>4.0</v>
      </c>
      <c r="P13" s="161">
        <v>5.0</v>
      </c>
      <c r="Q13" s="162">
        <f t="shared" si="3"/>
        <v>3.95</v>
      </c>
      <c r="R13" s="163">
        <f t="shared" si="4"/>
        <v>0.05090206186</v>
      </c>
      <c r="S13" s="164">
        <f t="shared" si="5"/>
        <v>61082.47423</v>
      </c>
      <c r="T13" s="162">
        <f t="shared" si="6"/>
        <v>47400</v>
      </c>
      <c r="U13" s="162">
        <f t="shared" si="7"/>
        <v>34943</v>
      </c>
      <c r="V13" s="165">
        <f t="shared" si="8"/>
        <v>30400</v>
      </c>
      <c r="W13" s="24"/>
      <c r="X13" s="24">
        <f t="shared" si="9"/>
        <v>8800</v>
      </c>
      <c r="Y13" s="166">
        <f t="shared" si="10"/>
        <v>39200</v>
      </c>
      <c r="Z13" s="164">
        <f t="shared" si="11"/>
        <v>4</v>
      </c>
      <c r="AA13" s="44"/>
      <c r="AB13" s="44"/>
      <c r="AC13" s="119">
        <v>1.0</v>
      </c>
      <c r="AD13" s="119" t="s">
        <v>260</v>
      </c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</row>
    <row r="14">
      <c r="A14" s="139" t="s">
        <v>126</v>
      </c>
      <c r="B14" s="152">
        <v>4.0</v>
      </c>
      <c r="C14" s="168" t="s">
        <v>31</v>
      </c>
      <c r="D14" s="154" t="s">
        <v>261</v>
      </c>
      <c r="E14" s="155" t="s">
        <v>175</v>
      </c>
      <c r="F14" s="154" t="s">
        <v>167</v>
      </c>
      <c r="G14" s="155" t="s">
        <v>176</v>
      </c>
      <c r="H14" s="156" t="s">
        <v>259</v>
      </c>
      <c r="I14" s="157"/>
      <c r="J14" s="157"/>
      <c r="K14" s="158">
        <v>42681.0</v>
      </c>
      <c r="L14" s="159">
        <v>42681.0</v>
      </c>
      <c r="M14" s="160">
        <f t="shared" si="2"/>
        <v>8.484931507</v>
      </c>
      <c r="N14" s="161">
        <f>vlookup(M14,'Table for Factors'!$C$30:$D$35,2,true)</f>
        <v>3</v>
      </c>
      <c r="O14" s="161">
        <v>4.0</v>
      </c>
      <c r="P14" s="161">
        <v>5.0</v>
      </c>
      <c r="Q14" s="162">
        <f t="shared" si="3"/>
        <v>4.1</v>
      </c>
      <c r="R14" s="163">
        <f t="shared" si="4"/>
        <v>0.05283505155</v>
      </c>
      <c r="S14" s="164">
        <f t="shared" si="5"/>
        <v>63402.06186</v>
      </c>
      <c r="T14" s="162">
        <f t="shared" si="6"/>
        <v>49200</v>
      </c>
      <c r="U14" s="162">
        <f t="shared" si="7"/>
        <v>36270</v>
      </c>
      <c r="V14" s="165">
        <f t="shared" si="8"/>
        <v>31600</v>
      </c>
      <c r="W14" s="24"/>
      <c r="X14" s="24">
        <f t="shared" si="9"/>
        <v>11100</v>
      </c>
      <c r="Y14" s="166">
        <f t="shared" si="10"/>
        <v>42700</v>
      </c>
      <c r="Z14" s="164">
        <f t="shared" si="11"/>
        <v>1</v>
      </c>
      <c r="AA14" s="44"/>
      <c r="AB14" s="44"/>
      <c r="AC14" s="119">
        <v>2.0</v>
      </c>
      <c r="AD14" s="119" t="s">
        <v>262</v>
      </c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</row>
    <row r="15">
      <c r="A15" s="139" t="s">
        <v>126</v>
      </c>
      <c r="B15" s="152">
        <v>5.0</v>
      </c>
      <c r="C15" s="168" t="s">
        <v>34</v>
      </c>
      <c r="D15" s="154" t="s">
        <v>172</v>
      </c>
      <c r="E15" s="155" t="s">
        <v>180</v>
      </c>
      <c r="F15" s="154" t="s">
        <v>167</v>
      </c>
      <c r="G15" s="155" t="s">
        <v>182</v>
      </c>
      <c r="H15" s="156" t="s">
        <v>259</v>
      </c>
      <c r="I15" s="157"/>
      <c r="J15" s="157"/>
      <c r="K15" s="158">
        <v>42979.0</v>
      </c>
      <c r="L15" s="159">
        <v>42979.0</v>
      </c>
      <c r="M15" s="160">
        <f t="shared" si="2"/>
        <v>7.668493151</v>
      </c>
      <c r="N15" s="161">
        <f>vlookup(M15,'Table for Factors'!$C$30:$D$35,2,true)</f>
        <v>3</v>
      </c>
      <c r="O15" s="161">
        <v>2.0</v>
      </c>
      <c r="P15" s="161">
        <v>2.0</v>
      </c>
      <c r="Q15" s="162">
        <f t="shared" si="3"/>
        <v>2.15</v>
      </c>
      <c r="R15" s="163">
        <f t="shared" si="4"/>
        <v>0.02770618557</v>
      </c>
      <c r="S15" s="164">
        <f t="shared" si="5"/>
        <v>33247.42268</v>
      </c>
      <c r="T15" s="162">
        <f t="shared" si="6"/>
        <v>25800</v>
      </c>
      <c r="U15" s="162">
        <f t="shared" si="7"/>
        <v>19020</v>
      </c>
      <c r="V15" s="165">
        <f t="shared" si="8"/>
        <v>16600</v>
      </c>
      <c r="W15" s="24"/>
      <c r="X15" s="24">
        <f t="shared" si="9"/>
        <v>-6900</v>
      </c>
      <c r="Y15" s="166">
        <f t="shared" si="10"/>
        <v>9700</v>
      </c>
      <c r="Z15" s="164">
        <f t="shared" si="11"/>
        <v>24</v>
      </c>
      <c r="AA15" s="44"/>
      <c r="AB15" s="44"/>
      <c r="AC15" s="119">
        <v>3.0</v>
      </c>
      <c r="AD15" s="55" t="s">
        <v>263</v>
      </c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</row>
    <row r="16">
      <c r="A16" s="139" t="s">
        <v>128</v>
      </c>
      <c r="B16" s="152">
        <v>6.0</v>
      </c>
      <c r="C16" s="153" t="s">
        <v>36</v>
      </c>
      <c r="D16" s="154" t="s">
        <v>183</v>
      </c>
      <c r="E16" s="155" t="s">
        <v>184</v>
      </c>
      <c r="F16" s="139" t="s">
        <v>181</v>
      </c>
      <c r="G16" s="155" t="s">
        <v>185</v>
      </c>
      <c r="H16" s="156" t="s">
        <v>259</v>
      </c>
      <c r="I16" s="157"/>
      <c r="J16" s="157"/>
      <c r="K16" s="158">
        <v>42626.0</v>
      </c>
      <c r="L16" s="159">
        <v>42626.0</v>
      </c>
      <c r="M16" s="160">
        <f t="shared" si="2"/>
        <v>8.635616438</v>
      </c>
      <c r="N16" s="161">
        <f>vlookup(M16,'Table for Factors'!$C$30:$D$35,2,true)</f>
        <v>3</v>
      </c>
      <c r="O16" s="161">
        <v>2.0</v>
      </c>
      <c r="P16" s="161">
        <v>2.0</v>
      </c>
      <c r="Q16" s="162">
        <f t="shared" si="3"/>
        <v>2.15</v>
      </c>
      <c r="R16" s="163">
        <f t="shared" si="4"/>
        <v>0.02770618557</v>
      </c>
      <c r="S16" s="164">
        <f t="shared" si="5"/>
        <v>33247.42268</v>
      </c>
      <c r="T16" s="162">
        <f t="shared" si="6"/>
        <v>25800</v>
      </c>
      <c r="U16" s="162">
        <f t="shared" si="7"/>
        <v>19020</v>
      </c>
      <c r="V16" s="165">
        <f t="shared" si="8"/>
        <v>16600</v>
      </c>
      <c r="W16" s="24"/>
      <c r="X16" s="24">
        <f t="shared" si="9"/>
        <v>-6900</v>
      </c>
      <c r="Y16" s="166">
        <f t="shared" si="10"/>
        <v>9700</v>
      </c>
      <c r="Z16" s="164">
        <f t="shared" si="11"/>
        <v>24</v>
      </c>
      <c r="AA16" s="44"/>
      <c r="AB16" s="44"/>
      <c r="AC16" s="119">
        <v>4.0</v>
      </c>
      <c r="AD16" s="119" t="s">
        <v>264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</row>
    <row r="17">
      <c r="A17" s="139" t="s">
        <v>126</v>
      </c>
      <c r="B17" s="152">
        <v>7.0</v>
      </c>
      <c r="C17" s="168" t="s">
        <v>39</v>
      </c>
      <c r="D17" s="154" t="s">
        <v>186</v>
      </c>
      <c r="E17" s="155" t="s">
        <v>187</v>
      </c>
      <c r="F17" s="154" t="s">
        <v>167</v>
      </c>
      <c r="G17" s="155" t="s">
        <v>188</v>
      </c>
      <c r="H17" s="156" t="s">
        <v>259</v>
      </c>
      <c r="I17" s="157"/>
      <c r="J17" s="157"/>
      <c r="K17" s="158">
        <v>43769.0</v>
      </c>
      <c r="L17" s="159">
        <v>43769.0</v>
      </c>
      <c r="M17" s="160">
        <f t="shared" si="2"/>
        <v>5.504109589</v>
      </c>
      <c r="N17" s="161">
        <f>vlookup(M17,'Table for Factors'!$C$30:$D$35,2,true)</f>
        <v>2</v>
      </c>
      <c r="O17" s="139">
        <v>3.0</v>
      </c>
      <c r="P17" s="161">
        <v>3.0</v>
      </c>
      <c r="Q17" s="162">
        <f t="shared" si="3"/>
        <v>2.85</v>
      </c>
      <c r="R17" s="163">
        <f t="shared" si="4"/>
        <v>0.03672680412</v>
      </c>
      <c r="S17" s="164">
        <f t="shared" si="5"/>
        <v>44072.16495</v>
      </c>
      <c r="T17" s="162">
        <f t="shared" si="6"/>
        <v>34200</v>
      </c>
      <c r="U17" s="162">
        <f t="shared" si="7"/>
        <v>25212</v>
      </c>
      <c r="V17" s="165">
        <f t="shared" si="8"/>
        <v>22000</v>
      </c>
      <c r="W17" s="24"/>
      <c r="X17" s="24">
        <f t="shared" si="9"/>
        <v>-3500</v>
      </c>
      <c r="Y17" s="166">
        <f t="shared" si="10"/>
        <v>18500</v>
      </c>
      <c r="Z17" s="164">
        <f t="shared" si="11"/>
        <v>10</v>
      </c>
      <c r="AA17" s="44"/>
      <c r="AB17" s="44"/>
      <c r="AC17" s="119">
        <v>5.0</v>
      </c>
      <c r="AD17" s="119" t="s">
        <v>265</v>
      </c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</row>
    <row r="18">
      <c r="A18" s="139" t="s">
        <v>126</v>
      </c>
      <c r="B18" s="152">
        <v>8.0</v>
      </c>
      <c r="C18" s="168" t="s">
        <v>43</v>
      </c>
      <c r="D18" s="154" t="s">
        <v>189</v>
      </c>
      <c r="E18" s="155" t="s">
        <v>166</v>
      </c>
      <c r="F18" s="154" t="s">
        <v>167</v>
      </c>
      <c r="G18" s="155" t="s">
        <v>190</v>
      </c>
      <c r="H18" s="156" t="s">
        <v>257</v>
      </c>
      <c r="I18" s="157"/>
      <c r="J18" s="157"/>
      <c r="K18" s="158">
        <v>43009.0</v>
      </c>
      <c r="L18" s="159">
        <v>43009.0</v>
      </c>
      <c r="M18" s="160">
        <f t="shared" si="2"/>
        <v>7.58630137</v>
      </c>
      <c r="N18" s="161">
        <f>vlookup(M18,'Table for Factors'!$C$30:$D$35,2,true)</f>
        <v>3</v>
      </c>
      <c r="O18" s="157">
        <v>3.0</v>
      </c>
      <c r="P18" s="161">
        <v>2.0</v>
      </c>
      <c r="Q18" s="162">
        <f t="shared" si="3"/>
        <v>2.75</v>
      </c>
      <c r="R18" s="163">
        <f t="shared" si="4"/>
        <v>0.03543814433</v>
      </c>
      <c r="S18" s="164">
        <f t="shared" si="5"/>
        <v>42525.7732</v>
      </c>
      <c r="T18" s="162">
        <f t="shared" si="6"/>
        <v>33000</v>
      </c>
      <c r="U18" s="162">
        <f t="shared" si="7"/>
        <v>24327</v>
      </c>
      <c r="V18" s="165">
        <f t="shared" si="8"/>
        <v>21200</v>
      </c>
      <c r="W18" s="24"/>
      <c r="X18" s="24">
        <f t="shared" si="9"/>
        <v>-4100</v>
      </c>
      <c r="Y18" s="166">
        <f t="shared" si="10"/>
        <v>17100</v>
      </c>
      <c r="Z18" s="164">
        <f t="shared" si="11"/>
        <v>12</v>
      </c>
      <c r="AA18" s="44"/>
      <c r="AB18" s="44"/>
      <c r="AC18" s="119">
        <v>6.0</v>
      </c>
      <c r="AD18" s="55" t="s">
        <v>266</v>
      </c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</row>
    <row r="19">
      <c r="A19" s="139" t="s">
        <v>124</v>
      </c>
      <c r="B19" s="152">
        <v>9.0</v>
      </c>
      <c r="C19" s="169" t="s">
        <v>45</v>
      </c>
      <c r="D19" s="154" t="s">
        <v>191</v>
      </c>
      <c r="E19" s="155" t="s">
        <v>192</v>
      </c>
      <c r="F19" s="154" t="s">
        <v>193</v>
      </c>
      <c r="G19" s="155" t="s">
        <v>194</v>
      </c>
      <c r="H19" s="156" t="s">
        <v>257</v>
      </c>
      <c r="I19" s="157"/>
      <c r="J19" s="157"/>
      <c r="K19" s="158">
        <v>42499.0</v>
      </c>
      <c r="L19" s="170">
        <v>42499.0</v>
      </c>
      <c r="M19" s="160">
        <f t="shared" si="2"/>
        <v>8.983561644</v>
      </c>
      <c r="N19" s="161">
        <f>vlookup(M19,'Table for Factors'!$C$30:$D$35,2,true)</f>
        <v>3</v>
      </c>
      <c r="O19" s="161">
        <v>3.0</v>
      </c>
      <c r="P19" s="161">
        <v>1.0</v>
      </c>
      <c r="Q19" s="162">
        <f t="shared" si="3"/>
        <v>2.5</v>
      </c>
      <c r="R19" s="163">
        <f t="shared" si="4"/>
        <v>0.03221649485</v>
      </c>
      <c r="S19" s="164">
        <f t="shared" si="5"/>
        <v>38659.79381</v>
      </c>
      <c r="T19" s="162">
        <f t="shared" si="6"/>
        <v>30000</v>
      </c>
      <c r="U19" s="162">
        <f t="shared" si="7"/>
        <v>22116</v>
      </c>
      <c r="V19" s="165">
        <f t="shared" si="8"/>
        <v>19300</v>
      </c>
      <c r="W19" s="24"/>
      <c r="X19" s="24">
        <f t="shared" si="9"/>
        <v>-5600</v>
      </c>
      <c r="Y19" s="166">
        <f t="shared" si="10"/>
        <v>13700</v>
      </c>
      <c r="Z19" s="164">
        <f t="shared" si="11"/>
        <v>17</v>
      </c>
      <c r="AA19" s="44"/>
      <c r="AB19" s="44"/>
      <c r="AC19" s="119">
        <v>7.0</v>
      </c>
      <c r="AD19" s="119" t="s">
        <v>267</v>
      </c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</row>
    <row r="20">
      <c r="A20" s="139" t="s">
        <v>128</v>
      </c>
      <c r="B20" s="152">
        <v>10.0</v>
      </c>
      <c r="C20" s="171" t="s">
        <v>47</v>
      </c>
      <c r="D20" s="154" t="s">
        <v>195</v>
      </c>
      <c r="E20" s="155" t="s">
        <v>196</v>
      </c>
      <c r="F20" s="154" t="s">
        <v>167</v>
      </c>
      <c r="G20" s="155" t="s">
        <v>197</v>
      </c>
      <c r="H20" s="156" t="s">
        <v>259</v>
      </c>
      <c r="I20" s="157"/>
      <c r="J20" s="157"/>
      <c r="K20" s="158">
        <v>43339.0</v>
      </c>
      <c r="L20" s="159">
        <v>43339.0</v>
      </c>
      <c r="M20" s="160">
        <f t="shared" si="2"/>
        <v>6.682191781</v>
      </c>
      <c r="N20" s="161">
        <f>vlookup(M20,'Table for Factors'!$C$30:$D$35,2,true)</f>
        <v>2</v>
      </c>
      <c r="O20" s="161">
        <v>3.0</v>
      </c>
      <c r="P20" s="161">
        <v>2.0</v>
      </c>
      <c r="Q20" s="162">
        <f t="shared" si="3"/>
        <v>2.6</v>
      </c>
      <c r="R20" s="163">
        <f t="shared" si="4"/>
        <v>0.03350515464</v>
      </c>
      <c r="S20" s="164">
        <f t="shared" si="5"/>
        <v>40206.18557</v>
      </c>
      <c r="T20" s="162">
        <f t="shared" si="6"/>
        <v>31200</v>
      </c>
      <c r="U20" s="162">
        <f t="shared" si="7"/>
        <v>23000</v>
      </c>
      <c r="V20" s="165">
        <f t="shared" si="8"/>
        <v>20000</v>
      </c>
      <c r="W20" s="24"/>
      <c r="X20" s="24">
        <f t="shared" si="9"/>
        <v>-5000</v>
      </c>
      <c r="Y20" s="166">
        <f t="shared" si="10"/>
        <v>15000</v>
      </c>
      <c r="Z20" s="164">
        <f t="shared" si="11"/>
        <v>13</v>
      </c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</row>
    <row r="21">
      <c r="A21" s="139" t="s">
        <v>122</v>
      </c>
      <c r="B21" s="152">
        <v>11.0</v>
      </c>
      <c r="C21" s="168" t="s">
        <v>49</v>
      </c>
      <c r="D21" s="172" t="s">
        <v>198</v>
      </c>
      <c r="E21" s="155" t="s">
        <v>199</v>
      </c>
      <c r="F21" s="154" t="s">
        <v>167</v>
      </c>
      <c r="G21" s="155" t="s">
        <v>200</v>
      </c>
      <c r="H21" s="156" t="s">
        <v>256</v>
      </c>
      <c r="I21" s="157"/>
      <c r="J21" s="157"/>
      <c r="K21" s="158">
        <v>43011.0</v>
      </c>
      <c r="L21" s="159">
        <v>43011.0</v>
      </c>
      <c r="M21" s="160">
        <f t="shared" si="2"/>
        <v>7.580821918</v>
      </c>
      <c r="N21" s="161">
        <f>vlookup(M21,'Table for Factors'!$C$30:$D$35,2,true)</f>
        <v>3</v>
      </c>
      <c r="O21" s="161">
        <v>3.0</v>
      </c>
      <c r="P21" s="161">
        <v>1.0</v>
      </c>
      <c r="Q21" s="162">
        <f t="shared" si="3"/>
        <v>2.5</v>
      </c>
      <c r="R21" s="163">
        <f t="shared" si="4"/>
        <v>0.03221649485</v>
      </c>
      <c r="S21" s="164">
        <f t="shared" si="5"/>
        <v>38659.79381</v>
      </c>
      <c r="T21" s="162">
        <f t="shared" si="6"/>
        <v>30000</v>
      </c>
      <c r="U21" s="162">
        <f t="shared" si="7"/>
        <v>22116</v>
      </c>
      <c r="V21" s="165">
        <f t="shared" si="8"/>
        <v>19300</v>
      </c>
      <c r="W21" s="24"/>
      <c r="X21" s="24">
        <f t="shared" si="9"/>
        <v>-5600</v>
      </c>
      <c r="Y21" s="166">
        <f t="shared" si="10"/>
        <v>13700</v>
      </c>
      <c r="Z21" s="164">
        <f t="shared" si="11"/>
        <v>17</v>
      </c>
      <c r="AA21" s="44"/>
      <c r="AB21" s="44"/>
      <c r="AC21" s="167" t="s">
        <v>268</v>
      </c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</row>
    <row r="22">
      <c r="A22" s="139" t="s">
        <v>124</v>
      </c>
      <c r="B22" s="152">
        <v>12.0</v>
      </c>
      <c r="C22" s="161" t="s">
        <v>51</v>
      </c>
      <c r="D22" s="39" t="s">
        <v>201</v>
      </c>
      <c r="E22" s="173" t="s">
        <v>202</v>
      </c>
      <c r="F22" s="39" t="s">
        <v>181</v>
      </c>
      <c r="G22" s="161" t="s">
        <v>203</v>
      </c>
      <c r="H22" s="156" t="s">
        <v>257</v>
      </c>
      <c r="I22" s="157"/>
      <c r="J22" s="157"/>
      <c r="K22" s="158">
        <v>43556.0</v>
      </c>
      <c r="L22" s="159">
        <v>43556.0</v>
      </c>
      <c r="M22" s="160">
        <f t="shared" si="2"/>
        <v>6.087671233</v>
      </c>
      <c r="N22" s="161">
        <f>vlookup(M22,'Table for Factors'!$C$30:$D$35,2,true)</f>
        <v>2</v>
      </c>
      <c r="O22" s="161">
        <v>4.0</v>
      </c>
      <c r="P22" s="161">
        <v>3.0</v>
      </c>
      <c r="Q22" s="162">
        <f t="shared" si="3"/>
        <v>3.45</v>
      </c>
      <c r="R22" s="163">
        <f t="shared" si="4"/>
        <v>0.04445876289</v>
      </c>
      <c r="S22" s="164">
        <f t="shared" si="5"/>
        <v>53350.51546</v>
      </c>
      <c r="T22" s="162">
        <f t="shared" si="6"/>
        <v>41400</v>
      </c>
      <c r="U22" s="162">
        <f t="shared" si="7"/>
        <v>30520</v>
      </c>
      <c r="V22" s="165">
        <f t="shared" si="8"/>
        <v>26600</v>
      </c>
      <c r="W22" s="24"/>
      <c r="X22" s="24">
        <f t="shared" si="9"/>
        <v>2100</v>
      </c>
      <c r="Y22" s="166">
        <f t="shared" si="10"/>
        <v>28700</v>
      </c>
      <c r="Z22" s="164">
        <f t="shared" si="11"/>
        <v>6</v>
      </c>
      <c r="AA22" s="44"/>
      <c r="AB22" s="44"/>
      <c r="AC22" s="119">
        <v>1.0</v>
      </c>
      <c r="AD22" s="119" t="s">
        <v>269</v>
      </c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</row>
    <row r="23">
      <c r="A23" s="139" t="s">
        <v>124</v>
      </c>
      <c r="B23" s="152">
        <v>13.0</v>
      </c>
      <c r="C23" s="161" t="s">
        <v>53</v>
      </c>
      <c r="D23" s="39" t="s">
        <v>191</v>
      </c>
      <c r="E23" s="173" t="s">
        <v>204</v>
      </c>
      <c r="F23" s="39" t="s">
        <v>181</v>
      </c>
      <c r="G23" s="161">
        <v>9.51201065817E11</v>
      </c>
      <c r="H23" s="156" t="s">
        <v>257</v>
      </c>
      <c r="I23" s="157"/>
      <c r="J23" s="157"/>
      <c r="K23" s="158">
        <v>43578.0</v>
      </c>
      <c r="L23" s="159">
        <v>43578.0</v>
      </c>
      <c r="M23" s="160">
        <f t="shared" si="2"/>
        <v>6.02739726</v>
      </c>
      <c r="N23" s="161">
        <f>vlookup(M23,'Table for Factors'!$C$30:$D$35,2,true)</f>
        <v>2</v>
      </c>
      <c r="O23" s="161">
        <v>3.0</v>
      </c>
      <c r="P23" s="161">
        <v>2.0</v>
      </c>
      <c r="Q23" s="162">
        <f t="shared" si="3"/>
        <v>2.6</v>
      </c>
      <c r="R23" s="163">
        <f t="shared" si="4"/>
        <v>0.03350515464</v>
      </c>
      <c r="S23" s="164">
        <f t="shared" si="5"/>
        <v>40206.18557</v>
      </c>
      <c r="T23" s="162">
        <f t="shared" si="6"/>
        <v>31200</v>
      </c>
      <c r="U23" s="162">
        <f t="shared" si="7"/>
        <v>23000</v>
      </c>
      <c r="V23" s="165">
        <f t="shared" si="8"/>
        <v>20000</v>
      </c>
      <c r="W23" s="24"/>
      <c r="X23" s="24">
        <f t="shared" si="9"/>
        <v>-5000</v>
      </c>
      <c r="Y23" s="166">
        <f t="shared" si="10"/>
        <v>15000</v>
      </c>
      <c r="Z23" s="164">
        <f t="shared" si="11"/>
        <v>13</v>
      </c>
      <c r="AA23" s="44"/>
      <c r="AB23" s="44"/>
      <c r="AC23" s="119">
        <v>2.0</v>
      </c>
      <c r="AD23" s="119" t="s">
        <v>270</v>
      </c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</row>
    <row r="24">
      <c r="A24" s="139" t="s">
        <v>139</v>
      </c>
      <c r="B24" s="152">
        <v>14.0</v>
      </c>
      <c r="C24" s="174" t="s">
        <v>55</v>
      </c>
      <c r="D24" s="39" t="s">
        <v>271</v>
      </c>
      <c r="E24" s="173" t="s">
        <v>206</v>
      </c>
      <c r="F24" s="39" t="s">
        <v>167</v>
      </c>
      <c r="G24" s="161" t="s">
        <v>207</v>
      </c>
      <c r="H24" s="156" t="s">
        <v>272</v>
      </c>
      <c r="I24" s="157"/>
      <c r="J24" s="175"/>
      <c r="K24" s="158">
        <v>43770.0</v>
      </c>
      <c r="L24" s="159">
        <v>43770.0</v>
      </c>
      <c r="M24" s="160">
        <f t="shared" si="2"/>
        <v>5.501369863</v>
      </c>
      <c r="N24" s="161">
        <f>vlookup(M24,'Table for Factors'!$C$30:$D$35,2,true)</f>
        <v>2</v>
      </c>
      <c r="O24" s="161">
        <v>3.0</v>
      </c>
      <c r="P24" s="161">
        <v>2.0</v>
      </c>
      <c r="Q24" s="162">
        <f t="shared" si="3"/>
        <v>2.6</v>
      </c>
      <c r="R24" s="163">
        <f t="shared" si="4"/>
        <v>0.03350515464</v>
      </c>
      <c r="S24" s="164">
        <f t="shared" si="5"/>
        <v>40206.18557</v>
      </c>
      <c r="T24" s="162">
        <f t="shared" si="6"/>
        <v>31200</v>
      </c>
      <c r="U24" s="162">
        <f t="shared" si="7"/>
        <v>23000</v>
      </c>
      <c r="V24" s="165">
        <f t="shared" si="8"/>
        <v>20000</v>
      </c>
      <c r="W24" s="24"/>
      <c r="X24" s="24">
        <f t="shared" si="9"/>
        <v>-5000</v>
      </c>
      <c r="Y24" s="166">
        <f t="shared" si="10"/>
        <v>15000</v>
      </c>
      <c r="Z24" s="164">
        <f t="shared" si="11"/>
        <v>13</v>
      </c>
      <c r="AA24" s="44"/>
      <c r="AB24" s="44"/>
      <c r="AC24" s="119">
        <v>3.0</v>
      </c>
      <c r="AD24" s="119" t="s">
        <v>273</v>
      </c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</row>
    <row r="25">
      <c r="A25" s="139" t="s">
        <v>139</v>
      </c>
      <c r="B25" s="152">
        <v>15.0</v>
      </c>
      <c r="C25" s="174" t="s">
        <v>57</v>
      </c>
      <c r="D25" s="39" t="s">
        <v>208</v>
      </c>
      <c r="E25" s="173" t="s">
        <v>209</v>
      </c>
      <c r="F25" s="39" t="s">
        <v>167</v>
      </c>
      <c r="G25" s="161" t="s">
        <v>210</v>
      </c>
      <c r="H25" s="156" t="s">
        <v>272</v>
      </c>
      <c r="I25" s="157"/>
      <c r="J25" s="175"/>
      <c r="K25" s="158">
        <v>41596.0</v>
      </c>
      <c r="L25" s="159">
        <v>41596.0</v>
      </c>
      <c r="M25" s="160">
        <f t="shared" si="2"/>
        <v>11.45753425</v>
      </c>
      <c r="N25" s="161">
        <f>vlookup(M25,'Table for Factors'!$C$30:$D$35,2,true)</f>
        <v>4</v>
      </c>
      <c r="O25" s="161">
        <v>2.0</v>
      </c>
      <c r="P25" s="161">
        <v>2.0</v>
      </c>
      <c r="Q25" s="162">
        <f t="shared" si="3"/>
        <v>2.3</v>
      </c>
      <c r="R25" s="163">
        <f t="shared" si="4"/>
        <v>0.02963917526</v>
      </c>
      <c r="S25" s="164">
        <f t="shared" si="5"/>
        <v>35567.01031</v>
      </c>
      <c r="T25" s="162">
        <f t="shared" si="6"/>
        <v>27600</v>
      </c>
      <c r="U25" s="162">
        <f t="shared" si="7"/>
        <v>20347</v>
      </c>
      <c r="V25" s="165">
        <f t="shared" si="8"/>
        <v>17700</v>
      </c>
      <c r="W25" s="24"/>
      <c r="X25" s="24">
        <f t="shared" si="9"/>
        <v>-6400</v>
      </c>
      <c r="Y25" s="166">
        <f t="shared" si="10"/>
        <v>11300</v>
      </c>
      <c r="Z25" s="164">
        <f t="shared" si="11"/>
        <v>22</v>
      </c>
      <c r="AA25" s="44"/>
      <c r="AB25" s="44"/>
      <c r="AC25" s="44"/>
      <c r="AE25" s="44"/>
      <c r="AF25" s="44"/>
      <c r="AG25" s="44"/>
      <c r="AH25" s="44"/>
      <c r="AI25" s="176" t="s">
        <v>274</v>
      </c>
      <c r="AJ25" s="176" t="s">
        <v>275</v>
      </c>
      <c r="AK25" s="177">
        <v>0.75</v>
      </c>
      <c r="AL25" s="44"/>
      <c r="AM25" s="44"/>
      <c r="AN25" s="44"/>
      <c r="AO25" s="44"/>
      <c r="AP25" s="44"/>
      <c r="AQ25" s="44"/>
      <c r="AR25" s="44"/>
    </row>
    <row r="26">
      <c r="A26" s="139" t="s">
        <v>139</v>
      </c>
      <c r="B26" s="152">
        <v>16.0</v>
      </c>
      <c r="C26" s="174" t="s">
        <v>59</v>
      </c>
      <c r="D26" s="39" t="s">
        <v>211</v>
      </c>
      <c r="E26" s="173" t="s">
        <v>212</v>
      </c>
      <c r="F26" s="39" t="s">
        <v>167</v>
      </c>
      <c r="G26" s="161" t="s">
        <v>213</v>
      </c>
      <c r="H26" s="156" t="s">
        <v>272</v>
      </c>
      <c r="I26" s="157"/>
      <c r="J26" s="175"/>
      <c r="K26" s="158">
        <v>43570.0</v>
      </c>
      <c r="L26" s="159">
        <v>43570.0</v>
      </c>
      <c r="M26" s="160">
        <f t="shared" si="2"/>
        <v>6.049315068</v>
      </c>
      <c r="N26" s="161">
        <f>vlookup(M26,'Table for Factors'!$C$30:$D$35,2,true)</f>
        <v>2</v>
      </c>
      <c r="O26" s="161">
        <v>2.0</v>
      </c>
      <c r="P26" s="161">
        <v>2.0</v>
      </c>
      <c r="Q26" s="162">
        <f t="shared" si="3"/>
        <v>2</v>
      </c>
      <c r="R26" s="163">
        <f t="shared" si="4"/>
        <v>0.02577319588</v>
      </c>
      <c r="S26" s="164">
        <f t="shared" si="5"/>
        <v>30927.83505</v>
      </c>
      <c r="T26" s="162">
        <f t="shared" si="6"/>
        <v>24000</v>
      </c>
      <c r="U26" s="162">
        <f t="shared" si="7"/>
        <v>17693</v>
      </c>
      <c r="V26" s="165">
        <f t="shared" si="8"/>
        <v>15400</v>
      </c>
      <c r="W26" s="24"/>
      <c r="X26" s="24">
        <f t="shared" si="9"/>
        <v>-7200</v>
      </c>
      <c r="Y26" s="166">
        <f t="shared" si="10"/>
        <v>8200</v>
      </c>
      <c r="Z26" s="164">
        <f t="shared" si="11"/>
        <v>26</v>
      </c>
      <c r="AA26" s="44"/>
      <c r="AB26" s="44"/>
      <c r="AC26" s="167" t="s">
        <v>276</v>
      </c>
      <c r="AD26" s="44"/>
      <c r="AE26" s="44"/>
      <c r="AF26" s="44"/>
      <c r="AG26" s="44"/>
      <c r="AH26" s="44"/>
      <c r="AJ26" s="176" t="s">
        <v>277</v>
      </c>
      <c r="AK26" s="176">
        <v>100000.0</v>
      </c>
      <c r="AL26" s="44"/>
      <c r="AM26" s="44"/>
      <c r="AN26" s="44"/>
      <c r="AO26" s="44"/>
      <c r="AP26" s="44"/>
      <c r="AQ26" s="44"/>
      <c r="AR26" s="44"/>
    </row>
    <row r="27">
      <c r="A27" s="139" t="s">
        <v>139</v>
      </c>
      <c r="B27" s="152">
        <v>17.0</v>
      </c>
      <c r="C27" s="178" t="s">
        <v>61</v>
      </c>
      <c r="D27" s="39" t="s">
        <v>214</v>
      </c>
      <c r="E27" s="179" t="s">
        <v>215</v>
      </c>
      <c r="F27" s="39" t="s">
        <v>167</v>
      </c>
      <c r="G27" s="161" t="s">
        <v>216</v>
      </c>
      <c r="H27" s="156" t="s">
        <v>272</v>
      </c>
      <c r="I27" s="157"/>
      <c r="J27" s="175"/>
      <c r="K27" s="158">
        <v>42814.0</v>
      </c>
      <c r="L27" s="159">
        <v>42814.0</v>
      </c>
      <c r="M27" s="160">
        <f t="shared" si="2"/>
        <v>8.120547945</v>
      </c>
      <c r="N27" s="161">
        <f>vlookup(M27,'Table for Factors'!$C$30:$D$35,2,true)</f>
        <v>3</v>
      </c>
      <c r="O27" s="161">
        <v>2.0</v>
      </c>
      <c r="P27" s="161">
        <v>1.0</v>
      </c>
      <c r="Q27" s="162">
        <f t="shared" si="3"/>
        <v>1.9</v>
      </c>
      <c r="R27" s="163">
        <f t="shared" si="4"/>
        <v>0.02448453608</v>
      </c>
      <c r="S27" s="164">
        <f t="shared" si="5"/>
        <v>29381.4433</v>
      </c>
      <c r="T27" s="162">
        <f t="shared" si="6"/>
        <v>22800</v>
      </c>
      <c r="U27" s="162">
        <f t="shared" si="7"/>
        <v>16808</v>
      </c>
      <c r="V27" s="165">
        <f t="shared" si="8"/>
        <v>14700</v>
      </c>
      <c r="W27" s="24"/>
      <c r="X27" s="24">
        <f t="shared" si="9"/>
        <v>-7400</v>
      </c>
      <c r="Y27" s="166">
        <f t="shared" si="10"/>
        <v>7300</v>
      </c>
      <c r="Z27" s="164">
        <f t="shared" si="11"/>
        <v>27</v>
      </c>
      <c r="AA27" s="44"/>
      <c r="AB27" s="44"/>
      <c r="AC27" s="180">
        <v>46082.0</v>
      </c>
      <c r="AD27" s="119" t="s">
        <v>278</v>
      </c>
      <c r="AE27" s="44"/>
      <c r="AF27" s="44"/>
      <c r="AG27" s="44"/>
      <c r="AH27" s="44"/>
      <c r="AI27" s="181">
        <v>1.0</v>
      </c>
      <c r="AJ27" s="176" t="s">
        <v>279</v>
      </c>
      <c r="AK27" s="182">
        <f>AK26*0.1*AI27</f>
        <v>10000</v>
      </c>
      <c r="AL27" s="44"/>
      <c r="AM27" s="44"/>
      <c r="AN27" s="44"/>
      <c r="AO27" s="44"/>
      <c r="AP27" s="44"/>
      <c r="AQ27" s="44"/>
      <c r="AR27" s="44"/>
    </row>
    <row r="28">
      <c r="A28" s="139" t="s">
        <v>139</v>
      </c>
      <c r="B28" s="152">
        <v>18.0</v>
      </c>
      <c r="C28" s="178" t="s">
        <v>63</v>
      </c>
      <c r="D28" s="39" t="s">
        <v>183</v>
      </c>
      <c r="E28" s="173" t="s">
        <v>217</v>
      </c>
      <c r="F28" s="39" t="s">
        <v>167</v>
      </c>
      <c r="G28" s="161" t="s">
        <v>218</v>
      </c>
      <c r="H28" s="156" t="s">
        <v>272</v>
      </c>
      <c r="I28" s="157"/>
      <c r="J28" s="175"/>
      <c r="K28" s="158">
        <v>42065.0</v>
      </c>
      <c r="L28" s="159">
        <v>42065.0</v>
      </c>
      <c r="M28" s="160">
        <f t="shared" si="2"/>
        <v>10.17260274</v>
      </c>
      <c r="N28" s="161">
        <f>vlookup(M28,'Table for Factors'!$C$30:$D$35,2,true)</f>
        <v>4</v>
      </c>
      <c r="O28" s="161">
        <v>3.0</v>
      </c>
      <c r="P28" s="161">
        <v>3.0</v>
      </c>
      <c r="Q28" s="162">
        <f t="shared" si="3"/>
        <v>3.15</v>
      </c>
      <c r="R28" s="163">
        <f t="shared" si="4"/>
        <v>0.04059278351</v>
      </c>
      <c r="S28" s="164">
        <f t="shared" si="5"/>
        <v>48711.34021</v>
      </c>
      <c r="T28" s="162">
        <f t="shared" si="6"/>
        <v>37800</v>
      </c>
      <c r="U28" s="162">
        <f t="shared" si="7"/>
        <v>27866</v>
      </c>
      <c r="V28" s="165">
        <f t="shared" si="8"/>
        <v>24300</v>
      </c>
      <c r="W28" s="24"/>
      <c r="X28" s="24">
        <f t="shared" si="9"/>
        <v>-1000</v>
      </c>
      <c r="Y28" s="166">
        <f t="shared" si="10"/>
        <v>23300</v>
      </c>
      <c r="Z28" s="164">
        <f t="shared" si="11"/>
        <v>8</v>
      </c>
      <c r="AA28" s="44"/>
      <c r="AB28" s="44"/>
      <c r="AC28" s="183">
        <v>46174.0</v>
      </c>
      <c r="AD28" s="119" t="s">
        <v>280</v>
      </c>
      <c r="AE28" s="44"/>
      <c r="AF28" s="44"/>
      <c r="AG28" s="44"/>
      <c r="AH28" s="44"/>
      <c r="AI28" s="177">
        <v>0.2</v>
      </c>
      <c r="AJ28" s="176" t="s">
        <v>281</v>
      </c>
      <c r="AK28" s="184">
        <f>AI28*AK26*(1-AK25)*AI27</f>
        <v>5000</v>
      </c>
      <c r="AL28" s="44"/>
      <c r="AM28" s="44"/>
      <c r="AN28" s="44"/>
      <c r="AO28" s="44"/>
      <c r="AP28" s="44"/>
      <c r="AQ28" s="44"/>
      <c r="AR28" s="44"/>
    </row>
    <row r="29">
      <c r="A29" s="139" t="s">
        <v>128</v>
      </c>
      <c r="B29" s="152">
        <v>19.0</v>
      </c>
      <c r="C29" s="161" t="s">
        <v>65</v>
      </c>
      <c r="D29" s="39" t="s">
        <v>183</v>
      </c>
      <c r="E29" s="173" t="s">
        <v>219</v>
      </c>
      <c r="F29" s="39" t="s">
        <v>167</v>
      </c>
      <c r="G29" s="161" t="s">
        <v>220</v>
      </c>
      <c r="H29" s="156" t="s">
        <v>259</v>
      </c>
      <c r="I29" s="157"/>
      <c r="J29" s="157"/>
      <c r="K29" s="185">
        <v>43600.0</v>
      </c>
      <c r="L29" s="170">
        <v>43600.0</v>
      </c>
      <c r="M29" s="160">
        <f t="shared" si="2"/>
        <v>5.967123288</v>
      </c>
      <c r="N29" s="161">
        <f>vlookup(M29,'Table for Factors'!$C$30:$D$35,2,true)</f>
        <v>2</v>
      </c>
      <c r="O29" s="161">
        <v>1.0</v>
      </c>
      <c r="P29" s="161">
        <v>1.0</v>
      </c>
      <c r="Q29" s="162">
        <f t="shared" si="3"/>
        <v>1.15</v>
      </c>
      <c r="R29" s="163">
        <f t="shared" si="4"/>
        <v>0.01481958763</v>
      </c>
      <c r="S29" s="164">
        <f t="shared" si="5"/>
        <v>17783.50515</v>
      </c>
      <c r="T29" s="162">
        <f t="shared" si="6"/>
        <v>13800</v>
      </c>
      <c r="U29" s="162">
        <f t="shared" si="7"/>
        <v>10174</v>
      </c>
      <c r="V29" s="165">
        <f t="shared" si="8"/>
        <v>8900</v>
      </c>
      <c r="W29" s="24"/>
      <c r="X29" s="24">
        <f t="shared" si="9"/>
        <v>-6600</v>
      </c>
      <c r="Y29" s="166">
        <f t="shared" si="10"/>
        <v>2300</v>
      </c>
      <c r="Z29" s="164">
        <f t="shared" si="11"/>
        <v>28</v>
      </c>
      <c r="AA29" s="44"/>
      <c r="AB29" s="44"/>
      <c r="AC29" s="183">
        <v>46266.0</v>
      </c>
      <c r="AD29" s="119" t="s">
        <v>282</v>
      </c>
      <c r="AE29" s="44"/>
      <c r="AF29" s="44"/>
      <c r="AG29" s="44"/>
      <c r="AH29" s="44"/>
      <c r="AI29" s="181">
        <v>0.03</v>
      </c>
      <c r="AJ29" s="176" t="s">
        <v>283</v>
      </c>
      <c r="AK29" s="182">
        <f>AK26*(1-AI28)*AI29</f>
        <v>2400</v>
      </c>
      <c r="AL29" s="44"/>
      <c r="AM29" s="44"/>
      <c r="AN29" s="44"/>
      <c r="AO29" s="44"/>
      <c r="AP29" s="44"/>
      <c r="AQ29" s="44"/>
      <c r="AR29" s="44"/>
    </row>
    <row r="30">
      <c r="A30" s="139" t="s">
        <v>126</v>
      </c>
      <c r="B30" s="152">
        <v>20.0</v>
      </c>
      <c r="C30" s="161" t="s">
        <v>67</v>
      </c>
      <c r="D30" s="39" t="s">
        <v>189</v>
      </c>
      <c r="E30" s="173" t="s">
        <v>221</v>
      </c>
      <c r="F30" s="39" t="s">
        <v>167</v>
      </c>
      <c r="G30" s="161" t="s">
        <v>222</v>
      </c>
      <c r="H30" s="156" t="s">
        <v>259</v>
      </c>
      <c r="I30" s="157"/>
      <c r="J30" s="157"/>
      <c r="K30" s="186">
        <v>43717.0</v>
      </c>
      <c r="L30" s="159">
        <v>43717.0</v>
      </c>
      <c r="M30" s="160">
        <f t="shared" si="2"/>
        <v>5.646575342</v>
      </c>
      <c r="N30" s="161">
        <f>vlookup(M30,'Table for Factors'!$C$30:$D$35,2,true)</f>
        <v>2</v>
      </c>
      <c r="O30" s="161">
        <v>3.0</v>
      </c>
      <c r="P30" s="161">
        <v>3.0</v>
      </c>
      <c r="Q30" s="162">
        <f t="shared" si="3"/>
        <v>2.85</v>
      </c>
      <c r="R30" s="163">
        <f t="shared" si="4"/>
        <v>0.03672680412</v>
      </c>
      <c r="S30" s="164">
        <f t="shared" si="5"/>
        <v>44072.16495</v>
      </c>
      <c r="T30" s="162">
        <f t="shared" si="6"/>
        <v>34200</v>
      </c>
      <c r="U30" s="162">
        <f t="shared" si="7"/>
        <v>25212</v>
      </c>
      <c r="V30" s="165">
        <f t="shared" si="8"/>
        <v>22000</v>
      </c>
      <c r="W30" s="24"/>
      <c r="X30" s="24">
        <f t="shared" si="9"/>
        <v>-3500</v>
      </c>
      <c r="Y30" s="166">
        <f t="shared" si="10"/>
        <v>18500</v>
      </c>
      <c r="Z30" s="164">
        <f t="shared" si="11"/>
        <v>10</v>
      </c>
      <c r="AA30" s="44"/>
      <c r="AB30" s="44"/>
      <c r="AC30" s="44"/>
      <c r="AD30" s="44"/>
      <c r="AE30" s="44"/>
      <c r="AF30" s="44"/>
      <c r="AG30" s="44"/>
      <c r="AH30" s="44"/>
      <c r="AI30" s="187"/>
      <c r="AJ30" s="176" t="s">
        <v>284</v>
      </c>
      <c r="AK30" s="182">
        <f>AK27-AK28-AK29</f>
        <v>2600</v>
      </c>
      <c r="AL30" s="44"/>
      <c r="AM30" s="44"/>
      <c r="AN30" s="44"/>
      <c r="AO30" s="44"/>
      <c r="AP30" s="44"/>
      <c r="AQ30" s="44"/>
      <c r="AR30" s="44"/>
    </row>
    <row r="31">
      <c r="A31" s="139" t="s">
        <v>126</v>
      </c>
      <c r="B31" s="152">
        <v>21.0</v>
      </c>
      <c r="C31" s="161" t="s">
        <v>69</v>
      </c>
      <c r="D31" s="39" t="s">
        <v>211</v>
      </c>
      <c r="E31" s="173" t="s">
        <v>223</v>
      </c>
      <c r="F31" s="39" t="s">
        <v>224</v>
      </c>
      <c r="G31" s="161" t="s">
        <v>225</v>
      </c>
      <c r="H31" s="156" t="s">
        <v>259</v>
      </c>
      <c r="I31" s="157"/>
      <c r="J31" s="157"/>
      <c r="K31" s="186">
        <v>43773.0</v>
      </c>
      <c r="L31" s="159">
        <v>43773.0</v>
      </c>
      <c r="M31" s="188">
        <f t="shared" si="2"/>
        <v>5.493150685</v>
      </c>
      <c r="N31" s="161">
        <f>vlookup(M31,'Table for Factors'!$C$30:$D$35,2,true)</f>
        <v>2</v>
      </c>
      <c r="O31" s="161">
        <v>3.0</v>
      </c>
      <c r="P31" s="161">
        <v>1.0</v>
      </c>
      <c r="Q31" s="162">
        <f t="shared" si="3"/>
        <v>2.35</v>
      </c>
      <c r="R31" s="163">
        <f t="shared" si="4"/>
        <v>0.03028350515</v>
      </c>
      <c r="S31" s="164">
        <f t="shared" si="5"/>
        <v>36340.20619</v>
      </c>
      <c r="T31" s="162">
        <f t="shared" si="6"/>
        <v>28200</v>
      </c>
      <c r="U31" s="162">
        <f t="shared" si="7"/>
        <v>20789</v>
      </c>
      <c r="V31" s="165">
        <f t="shared" si="8"/>
        <v>18100</v>
      </c>
      <c r="W31" s="24"/>
      <c r="X31" s="24">
        <f t="shared" si="9"/>
        <v>-6200</v>
      </c>
      <c r="Y31" s="166">
        <f t="shared" si="10"/>
        <v>11900</v>
      </c>
      <c r="Z31" s="164">
        <f t="shared" si="11"/>
        <v>19</v>
      </c>
      <c r="AA31" s="44"/>
      <c r="AB31" s="44"/>
      <c r="AC31" s="167" t="s">
        <v>285</v>
      </c>
      <c r="AD31" s="44"/>
      <c r="AE31" s="44"/>
      <c r="AF31" s="44"/>
      <c r="AG31" s="44"/>
      <c r="AH31" s="44"/>
      <c r="AI31" s="189"/>
      <c r="AJ31" s="190" t="s">
        <v>286</v>
      </c>
      <c r="AK31" s="189">
        <f>AK26*(1-AI28)</f>
        <v>80000</v>
      </c>
      <c r="AR31" s="44"/>
    </row>
    <row r="32">
      <c r="A32" s="139" t="s">
        <v>126</v>
      </c>
      <c r="B32" s="152">
        <v>22.0</v>
      </c>
      <c r="C32" s="161" t="s">
        <v>71</v>
      </c>
      <c r="D32" s="39" t="s">
        <v>189</v>
      </c>
      <c r="E32" s="173" t="s">
        <v>226</v>
      </c>
      <c r="F32" s="39" t="s">
        <v>167</v>
      </c>
      <c r="G32" s="161" t="s">
        <v>227</v>
      </c>
      <c r="H32" s="156" t="s">
        <v>259</v>
      </c>
      <c r="I32" s="157"/>
      <c r="J32" s="157"/>
      <c r="K32" s="191">
        <v>44088.0</v>
      </c>
      <c r="L32" s="159">
        <v>44088.0</v>
      </c>
      <c r="M32" s="160">
        <f t="shared" si="2"/>
        <v>4.630136986</v>
      </c>
      <c r="N32" s="161">
        <f>vlookup(M32,'Table for Factors'!$C$30:$D$35,2,true)</f>
        <v>2</v>
      </c>
      <c r="O32" s="161">
        <v>3.0</v>
      </c>
      <c r="P32" s="161">
        <v>1.0</v>
      </c>
      <c r="Q32" s="162">
        <f t="shared" si="3"/>
        <v>2.35</v>
      </c>
      <c r="R32" s="163">
        <f t="shared" si="4"/>
        <v>0.03028350515</v>
      </c>
      <c r="S32" s="164">
        <f t="shared" si="5"/>
        <v>36340.20619</v>
      </c>
      <c r="T32" s="162">
        <f t="shared" si="6"/>
        <v>28200</v>
      </c>
      <c r="U32" s="162">
        <f t="shared" si="7"/>
        <v>20789</v>
      </c>
      <c r="V32" s="165">
        <f t="shared" si="8"/>
        <v>18100</v>
      </c>
      <c r="W32" s="24"/>
      <c r="X32" s="24">
        <f t="shared" si="9"/>
        <v>-6200</v>
      </c>
      <c r="Y32" s="166">
        <f t="shared" si="10"/>
        <v>11900</v>
      </c>
      <c r="Z32" s="164">
        <f t="shared" si="11"/>
        <v>19</v>
      </c>
      <c r="AA32" s="44"/>
      <c r="AB32" s="44"/>
      <c r="AC32" s="119">
        <v>1.0</v>
      </c>
      <c r="AD32" s="119" t="s">
        <v>287</v>
      </c>
      <c r="AE32" s="44"/>
      <c r="AF32" s="44"/>
      <c r="AG32" s="44"/>
      <c r="AH32" s="44"/>
      <c r="AR32" s="44"/>
    </row>
    <row r="33">
      <c r="A33" s="139" t="s">
        <v>126</v>
      </c>
      <c r="B33" s="152">
        <v>23.0</v>
      </c>
      <c r="C33" s="161" t="s">
        <v>73</v>
      </c>
      <c r="D33" s="39" t="s">
        <v>288</v>
      </c>
      <c r="E33" s="173" t="s">
        <v>229</v>
      </c>
      <c r="F33" s="39" t="s">
        <v>167</v>
      </c>
      <c r="G33" s="161" t="s">
        <v>230</v>
      </c>
      <c r="H33" s="156" t="s">
        <v>259</v>
      </c>
      <c r="I33" s="157"/>
      <c r="J33" s="157"/>
      <c r="K33" s="185">
        <v>44308.0</v>
      </c>
      <c r="L33" s="159">
        <v>44308.0</v>
      </c>
      <c r="M33" s="160">
        <f t="shared" si="2"/>
        <v>4.02739726</v>
      </c>
      <c r="N33" s="161">
        <f>vlookup(M33,'Table for Factors'!$C$30:$D$35,2,true)</f>
        <v>2</v>
      </c>
      <c r="O33" s="161">
        <v>3.0</v>
      </c>
      <c r="P33" s="161">
        <v>1.0</v>
      </c>
      <c r="Q33" s="162">
        <f t="shared" si="3"/>
        <v>2.35</v>
      </c>
      <c r="R33" s="163">
        <f t="shared" si="4"/>
        <v>0.03028350515</v>
      </c>
      <c r="S33" s="164">
        <f t="shared" si="5"/>
        <v>36340.20619</v>
      </c>
      <c r="T33" s="162">
        <f t="shared" si="6"/>
        <v>28200</v>
      </c>
      <c r="U33" s="162">
        <f t="shared" si="7"/>
        <v>20789</v>
      </c>
      <c r="V33" s="165">
        <f t="shared" si="8"/>
        <v>18100</v>
      </c>
      <c r="W33" s="24"/>
      <c r="X33" s="24">
        <f t="shared" si="9"/>
        <v>-6200</v>
      </c>
      <c r="Y33" s="166">
        <f t="shared" si="10"/>
        <v>11900</v>
      </c>
      <c r="Z33" s="164">
        <f t="shared" si="11"/>
        <v>19</v>
      </c>
      <c r="AA33" s="44"/>
      <c r="AB33" s="44"/>
      <c r="AC33" s="119">
        <v>2.0</v>
      </c>
      <c r="AD33" s="119" t="s">
        <v>289</v>
      </c>
      <c r="AE33" s="44"/>
      <c r="AF33" s="44"/>
      <c r="AG33" s="44"/>
      <c r="AH33" s="44"/>
      <c r="AR33" s="44"/>
    </row>
    <row r="34">
      <c r="A34" s="139" t="s">
        <v>124</v>
      </c>
      <c r="B34" s="152">
        <v>24.0</v>
      </c>
      <c r="C34" s="161" t="s">
        <v>75</v>
      </c>
      <c r="D34" s="39" t="s">
        <v>198</v>
      </c>
      <c r="E34" s="192" t="s">
        <v>290</v>
      </c>
      <c r="F34" s="157" t="s">
        <v>181</v>
      </c>
      <c r="G34" s="157" t="s">
        <v>291</v>
      </c>
      <c r="H34" s="156" t="s">
        <v>257</v>
      </c>
      <c r="I34" s="157"/>
      <c r="J34" s="157"/>
      <c r="K34" s="193">
        <v>44197.0</v>
      </c>
      <c r="L34" s="194">
        <v>44682.0</v>
      </c>
      <c r="M34" s="195">
        <f t="shared" si="2"/>
        <v>4.331506849</v>
      </c>
      <c r="N34" s="161">
        <f>vlookup(M34,'Table for Factors'!$C$30:$D$35,2,true)</f>
        <v>2</v>
      </c>
      <c r="O34" s="196">
        <v>5.0</v>
      </c>
      <c r="P34" s="161">
        <v>2.0</v>
      </c>
      <c r="Q34" s="162">
        <f t="shared" si="3"/>
        <v>3.8</v>
      </c>
      <c r="R34" s="163">
        <f t="shared" si="4"/>
        <v>0.04896907216</v>
      </c>
      <c r="S34" s="164">
        <f t="shared" si="5"/>
        <v>58762.8866</v>
      </c>
      <c r="T34" s="162">
        <f t="shared" si="6"/>
        <v>45600</v>
      </c>
      <c r="U34" s="162">
        <f t="shared" si="7"/>
        <v>33616</v>
      </c>
      <c r="V34" s="165">
        <f t="shared" si="8"/>
        <v>29300</v>
      </c>
      <c r="W34" s="24"/>
      <c r="X34" s="24">
        <f t="shared" si="9"/>
        <v>6600</v>
      </c>
      <c r="Y34" s="166">
        <f t="shared" si="10"/>
        <v>35900</v>
      </c>
      <c r="Z34" s="164">
        <f t="shared" si="11"/>
        <v>5</v>
      </c>
      <c r="AA34" s="197"/>
      <c r="AB34" s="197"/>
      <c r="AC34" s="198">
        <v>3.0</v>
      </c>
      <c r="AD34" s="55" t="s">
        <v>292</v>
      </c>
      <c r="AE34" s="197"/>
      <c r="AF34" s="197"/>
      <c r="AG34" s="197"/>
      <c r="AH34" s="197"/>
      <c r="AR34" s="197"/>
    </row>
    <row r="35">
      <c r="A35" s="161" t="s">
        <v>139</v>
      </c>
      <c r="B35" s="152">
        <v>25.0</v>
      </c>
      <c r="C35" s="161" t="s">
        <v>77</v>
      </c>
      <c r="D35" s="161" t="s">
        <v>172</v>
      </c>
      <c r="E35" s="199" t="s">
        <v>293</v>
      </c>
      <c r="F35" s="157" t="s">
        <v>167</v>
      </c>
      <c r="G35" s="157" t="s">
        <v>294</v>
      </c>
      <c r="H35" s="156" t="s">
        <v>272</v>
      </c>
      <c r="I35" s="157"/>
      <c r="J35" s="157"/>
      <c r="K35" s="200">
        <v>44562.0</v>
      </c>
      <c r="L35" s="201">
        <v>44881.0</v>
      </c>
      <c r="M35" s="195">
        <f t="shared" si="2"/>
        <v>3.331506849</v>
      </c>
      <c r="N35" s="161">
        <v>2.0</v>
      </c>
      <c r="O35" s="161">
        <v>3.0</v>
      </c>
      <c r="P35" s="161">
        <v>2.0</v>
      </c>
      <c r="Q35" s="162">
        <f t="shared" si="3"/>
        <v>2.6</v>
      </c>
      <c r="R35" s="163">
        <f t="shared" si="4"/>
        <v>0.03350515464</v>
      </c>
      <c r="S35" s="164">
        <f t="shared" si="5"/>
        <v>40206.18557</v>
      </c>
      <c r="T35" s="162">
        <f t="shared" si="6"/>
        <v>31200</v>
      </c>
      <c r="U35" s="162">
        <f t="shared" si="7"/>
        <v>23000</v>
      </c>
      <c r="V35" s="165">
        <f t="shared" si="8"/>
        <v>20000</v>
      </c>
      <c r="W35" s="24"/>
      <c r="X35" s="24">
        <f t="shared" si="9"/>
        <v>-5000</v>
      </c>
      <c r="Y35" s="166">
        <f t="shared" si="10"/>
        <v>15000</v>
      </c>
      <c r="Z35" s="164">
        <f t="shared" si="11"/>
        <v>13</v>
      </c>
      <c r="AA35" s="197"/>
      <c r="AB35" s="197"/>
      <c r="AC35" s="198">
        <v>4.0</v>
      </c>
      <c r="AD35" s="198" t="s">
        <v>295</v>
      </c>
      <c r="AE35" s="197"/>
      <c r="AF35" s="197"/>
      <c r="AG35" s="197"/>
      <c r="AH35" s="197"/>
      <c r="AR35" s="197"/>
    </row>
    <row r="36">
      <c r="A36" s="139" t="s">
        <v>126</v>
      </c>
      <c r="B36" s="152">
        <v>26.0</v>
      </c>
      <c r="C36" s="161" t="s">
        <v>79</v>
      </c>
      <c r="D36" s="202" t="s">
        <v>296</v>
      </c>
      <c r="E36" s="199" t="s">
        <v>297</v>
      </c>
      <c r="F36" s="157" t="s">
        <v>167</v>
      </c>
      <c r="G36" s="157" t="s">
        <v>298</v>
      </c>
      <c r="H36" s="156" t="s">
        <v>259</v>
      </c>
      <c r="I36" s="157"/>
      <c r="J36" s="157"/>
      <c r="K36" s="193">
        <v>44562.0</v>
      </c>
      <c r="L36" s="203">
        <v>44562.0</v>
      </c>
      <c r="M36" s="195">
        <f t="shared" si="2"/>
        <v>3.331506849</v>
      </c>
      <c r="N36" s="161">
        <v>2.0</v>
      </c>
      <c r="O36" s="161">
        <v>4.0</v>
      </c>
      <c r="P36" s="161">
        <v>1.0</v>
      </c>
      <c r="Q36" s="162">
        <f t="shared" si="3"/>
        <v>2.95</v>
      </c>
      <c r="R36" s="163">
        <f t="shared" si="4"/>
        <v>0.03801546392</v>
      </c>
      <c r="S36" s="164">
        <f t="shared" si="5"/>
        <v>45618.5567</v>
      </c>
      <c r="T36" s="162">
        <f t="shared" si="6"/>
        <v>35400</v>
      </c>
      <c r="U36" s="162">
        <f t="shared" si="7"/>
        <v>26097</v>
      </c>
      <c r="V36" s="165">
        <f t="shared" si="8"/>
        <v>22700</v>
      </c>
      <c r="W36" s="24"/>
      <c r="X36" s="24">
        <f t="shared" si="9"/>
        <v>-2600</v>
      </c>
      <c r="Y36" s="166">
        <f t="shared" si="10"/>
        <v>20100</v>
      </c>
      <c r="Z36" s="164">
        <f t="shared" si="11"/>
        <v>9</v>
      </c>
      <c r="AC36" s="55">
        <v>5.0</v>
      </c>
      <c r="AD36" s="198" t="s">
        <v>299</v>
      </c>
    </row>
    <row r="37">
      <c r="A37" s="139" t="s">
        <v>124</v>
      </c>
      <c r="B37" s="152">
        <v>27.0</v>
      </c>
      <c r="C37" s="161" t="s">
        <v>81</v>
      </c>
      <c r="D37" s="161" t="s">
        <v>300</v>
      </c>
      <c r="E37" s="199" t="s">
        <v>301</v>
      </c>
      <c r="F37" s="157" t="s">
        <v>167</v>
      </c>
      <c r="G37" s="157" t="s">
        <v>302</v>
      </c>
      <c r="H37" s="156" t="s">
        <v>257</v>
      </c>
      <c r="I37" s="157"/>
      <c r="J37" s="157"/>
      <c r="K37" s="193">
        <v>44562.0</v>
      </c>
      <c r="L37" s="203">
        <v>44564.0</v>
      </c>
      <c r="M37" s="195">
        <f t="shared" si="2"/>
        <v>3.331506849</v>
      </c>
      <c r="N37" s="161">
        <v>2.0</v>
      </c>
      <c r="O37" s="157">
        <v>4.0</v>
      </c>
      <c r="P37" s="161">
        <v>3.0</v>
      </c>
      <c r="Q37" s="162">
        <f t="shared" si="3"/>
        <v>3.45</v>
      </c>
      <c r="R37" s="163">
        <f t="shared" si="4"/>
        <v>0.04445876289</v>
      </c>
      <c r="S37" s="164">
        <f t="shared" si="5"/>
        <v>53350.51546</v>
      </c>
      <c r="T37" s="162">
        <f t="shared" si="6"/>
        <v>41400</v>
      </c>
      <c r="U37" s="162">
        <f t="shared" si="7"/>
        <v>30520</v>
      </c>
      <c r="V37" s="165">
        <f t="shared" si="8"/>
        <v>26600</v>
      </c>
      <c r="W37" s="24"/>
      <c r="X37" s="24">
        <f t="shared" si="9"/>
        <v>2100</v>
      </c>
      <c r="Y37" s="166">
        <f t="shared" si="10"/>
        <v>28700</v>
      </c>
      <c r="Z37" s="164">
        <f t="shared" si="11"/>
        <v>6</v>
      </c>
      <c r="AA37" s="44"/>
      <c r="AB37" s="44"/>
      <c r="AC37" s="119">
        <v>6.0</v>
      </c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</row>
    <row r="38">
      <c r="A38" s="139" t="s">
        <v>126</v>
      </c>
      <c r="B38" s="152">
        <v>28.0</v>
      </c>
      <c r="C38" s="161" t="s">
        <v>83</v>
      </c>
      <c r="D38" s="39" t="s">
        <v>303</v>
      </c>
      <c r="E38" s="199" t="s">
        <v>304</v>
      </c>
      <c r="F38" s="157" t="s">
        <v>167</v>
      </c>
      <c r="G38" s="157" t="s">
        <v>305</v>
      </c>
      <c r="H38" s="156" t="s">
        <v>272</v>
      </c>
      <c r="I38" s="161"/>
      <c r="J38" s="161"/>
      <c r="K38" s="193">
        <v>44197.0</v>
      </c>
      <c r="L38" s="204">
        <v>44431.0</v>
      </c>
      <c r="M38" s="195">
        <f t="shared" si="2"/>
        <v>4.331506849</v>
      </c>
      <c r="N38" s="161">
        <v>1.0</v>
      </c>
      <c r="O38" s="139">
        <v>3.0</v>
      </c>
      <c r="P38" s="157">
        <v>1.0</v>
      </c>
      <c r="Q38" s="205">
        <f t="shared" si="3"/>
        <v>2.2</v>
      </c>
      <c r="R38" s="206">
        <f t="shared" si="4"/>
        <v>0.02835051546</v>
      </c>
      <c r="S38" s="207">
        <f t="shared" si="5"/>
        <v>34020.61856</v>
      </c>
      <c r="T38" s="162">
        <f t="shared" si="6"/>
        <v>26400</v>
      </c>
      <c r="U38" s="162">
        <f t="shared" si="7"/>
        <v>19462</v>
      </c>
      <c r="V38" s="165">
        <f t="shared" si="8"/>
        <v>17000</v>
      </c>
      <c r="W38" s="24"/>
      <c r="X38" s="24">
        <f t="shared" si="9"/>
        <v>-6800</v>
      </c>
      <c r="Y38" s="166">
        <f t="shared" si="10"/>
        <v>10200</v>
      </c>
      <c r="Z38" s="164">
        <f t="shared" si="11"/>
        <v>23</v>
      </c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</row>
    <row r="39">
      <c r="A39" s="208"/>
      <c r="B39" s="152">
        <v>29.0</v>
      </c>
      <c r="C39" s="209" t="s">
        <v>177</v>
      </c>
      <c r="D39" s="210" t="s">
        <v>172</v>
      </c>
      <c r="E39" s="211" t="s">
        <v>178</v>
      </c>
      <c r="F39" s="210" t="s">
        <v>167</v>
      </c>
      <c r="G39" s="211" t="s">
        <v>179</v>
      </c>
      <c r="H39" s="156" t="s">
        <v>259</v>
      </c>
      <c r="I39" s="208"/>
      <c r="J39" s="208"/>
      <c r="K39" s="212">
        <v>42961.0</v>
      </c>
      <c r="L39" s="213">
        <v>42961.0</v>
      </c>
      <c r="M39" s="214">
        <f t="shared" si="2"/>
        <v>7.717808219</v>
      </c>
      <c r="N39" s="208">
        <v>0.0</v>
      </c>
      <c r="O39" s="208">
        <v>0.0</v>
      </c>
      <c r="P39" s="161">
        <v>0.0</v>
      </c>
      <c r="Q39" s="215"/>
      <c r="R39" s="216"/>
      <c r="S39" s="217"/>
      <c r="T39" s="162"/>
      <c r="U39" s="162"/>
      <c r="V39" s="165"/>
      <c r="W39" s="24"/>
      <c r="X39" s="24"/>
      <c r="Y39" s="166"/>
      <c r="Z39" s="16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</row>
    <row r="40">
      <c r="A40" s="197">
        <f>COUNTA(A11:A39)</f>
        <v>28</v>
      </c>
      <c r="B40" s="197"/>
      <c r="C40" s="197"/>
      <c r="D40" s="218"/>
      <c r="E40" s="197"/>
      <c r="F40" s="197"/>
      <c r="G40" s="197"/>
      <c r="H40" s="197"/>
      <c r="I40" s="161"/>
      <c r="J40" s="161"/>
      <c r="K40" s="197"/>
      <c r="L40" s="197"/>
      <c r="M40" s="197"/>
      <c r="N40" s="197"/>
      <c r="O40" s="197"/>
      <c r="P40" s="197"/>
      <c r="Q40" s="197"/>
      <c r="R40" s="197"/>
      <c r="S40" s="197"/>
      <c r="T40" s="219"/>
      <c r="U40" s="197"/>
      <c r="V40" s="220"/>
      <c r="Y40" s="221"/>
      <c r="Z40" s="222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</row>
    <row r="41">
      <c r="A41" s="44"/>
      <c r="B41" s="197"/>
      <c r="C41" s="197"/>
      <c r="D41" s="218"/>
      <c r="E41" s="197"/>
      <c r="F41" s="197"/>
      <c r="G41" s="197"/>
      <c r="H41" s="44"/>
      <c r="I41" s="44"/>
      <c r="J41" s="44"/>
      <c r="K41" s="44"/>
      <c r="L41" s="44"/>
      <c r="M41" s="44"/>
      <c r="N41" s="44"/>
      <c r="O41" s="44"/>
      <c r="P41" s="119" t="s">
        <v>306</v>
      </c>
      <c r="Q41" s="44">
        <f>MEDIAN(Q11:Q39)</f>
        <v>2.6</v>
      </c>
      <c r="R41" s="44"/>
      <c r="S41" s="127">
        <f t="shared" ref="S41:V41" si="12">SUM(S11:S39)</f>
        <v>1200000</v>
      </c>
      <c r="T41" s="127">
        <f t="shared" si="12"/>
        <v>931200</v>
      </c>
      <c r="U41" s="127">
        <f t="shared" si="12"/>
        <v>686476</v>
      </c>
      <c r="V41" s="223">
        <f t="shared" si="12"/>
        <v>598100</v>
      </c>
      <c r="X41" s="224">
        <f t="shared" ref="X41:Y41" si="13">SUM(X11:X39)</f>
        <v>-62800</v>
      </c>
      <c r="Y41" s="224">
        <f t="shared" si="13"/>
        <v>535300</v>
      </c>
      <c r="Z41" s="131" t="s">
        <v>307</v>
      </c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</row>
    <row r="42">
      <c r="A42" s="119" t="s">
        <v>308</v>
      </c>
      <c r="B42" s="119" t="s">
        <v>309</v>
      </c>
      <c r="C42" s="119" t="s">
        <v>310</v>
      </c>
      <c r="D42" s="119" t="s">
        <v>311</v>
      </c>
      <c r="E42" s="136" t="s">
        <v>312</v>
      </c>
      <c r="F42" s="119" t="s">
        <v>313</v>
      </c>
      <c r="G42" s="119" t="s">
        <v>314</v>
      </c>
      <c r="H42" s="44"/>
      <c r="I42" s="44"/>
      <c r="J42" s="44"/>
      <c r="K42" s="44"/>
      <c r="L42" s="44"/>
      <c r="M42" s="44"/>
      <c r="N42" s="44"/>
      <c r="O42" s="44"/>
      <c r="P42" s="119" t="s">
        <v>315</v>
      </c>
      <c r="Q42" s="225">
        <f>STDEV(Q11:Q39)</f>
        <v>0.7313646012</v>
      </c>
      <c r="R42" s="44"/>
      <c r="S42" s="44"/>
      <c r="T42" s="120"/>
      <c r="U42" s="44"/>
      <c r="V42" s="226">
        <f>AVERAGE(V11:V39)</f>
        <v>21360.71429</v>
      </c>
      <c r="W42" s="119" t="s">
        <v>316</v>
      </c>
      <c r="X42" s="121"/>
      <c r="Y42" s="226">
        <f>Z42/A40</f>
        <v>21428.57143</v>
      </c>
      <c r="Z42" s="119">
        <v>600000.0</v>
      </c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</row>
    <row r="43">
      <c r="A43" s="119" t="s">
        <v>122</v>
      </c>
      <c r="B43" s="44">
        <f t="shared" ref="B43:B47" si="14">COUNTIF(A$11:A$39,A43)</f>
        <v>2</v>
      </c>
      <c r="C43" s="127">
        <f t="shared" ref="C43:C47" si="15">AVERAGEIF(A$11:A$39,A43,Y$11:Y$39)</f>
        <v>27050</v>
      </c>
      <c r="D43" s="44">
        <f>MEDIAN(Y11,Y21)</f>
        <v>27050</v>
      </c>
      <c r="E43" s="227">
        <f t="shared" ref="E43:E47" si="16">SUMIF(A$11:A$39,A43,Y$11:Y$39)</f>
        <v>54100</v>
      </c>
      <c r="F43" s="121">
        <f t="shared" ref="F43:F47" si="17">SUMIF(A$11:A$39,A43,T$11:T$39)</f>
        <v>78000</v>
      </c>
      <c r="G43" s="121">
        <f t="shared" ref="G43:G47" si="18">SUMIF(A$11:A$39,A43,U$11:U$39)</f>
        <v>57501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V43" s="228">
        <f>STDEV(V11:V39)</f>
        <v>5626.217681</v>
      </c>
      <c r="W43" s="55" t="s">
        <v>317</v>
      </c>
      <c r="Y43" s="228">
        <f>STDEV(Y11:Y39)</f>
        <v>11379.64569</v>
      </c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</row>
    <row r="44">
      <c r="A44" s="119" t="s">
        <v>124</v>
      </c>
      <c r="B44" s="44">
        <f t="shared" si="14"/>
        <v>6</v>
      </c>
      <c r="C44" s="127">
        <f t="shared" si="15"/>
        <v>27066.66667</v>
      </c>
      <c r="D44" s="44">
        <f>MEDIAN(Y12,Y19,Y23,Y22,Y34,Y37)</f>
        <v>28700</v>
      </c>
      <c r="E44" s="227">
        <f t="shared" si="16"/>
        <v>162400</v>
      </c>
      <c r="F44" s="121">
        <f t="shared" si="17"/>
        <v>237600</v>
      </c>
      <c r="G44" s="121">
        <f t="shared" si="18"/>
        <v>175157</v>
      </c>
      <c r="H44" s="44"/>
      <c r="I44" s="44"/>
      <c r="J44" s="44"/>
      <c r="K44" s="44"/>
      <c r="L44" s="44"/>
      <c r="M44" s="44"/>
      <c r="N44" s="44"/>
      <c r="O44" s="44"/>
      <c r="P44" s="119" t="s">
        <v>318</v>
      </c>
      <c r="Q44" s="44">
        <f>Q41+2*Q42</f>
        <v>4.062729202</v>
      </c>
      <c r="R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</row>
    <row r="45">
      <c r="A45" s="119" t="s">
        <v>128</v>
      </c>
      <c r="B45" s="44">
        <f t="shared" si="14"/>
        <v>3</v>
      </c>
      <c r="C45" s="127">
        <f t="shared" si="15"/>
        <v>9000</v>
      </c>
      <c r="D45" s="44">
        <f>MEDIAN(Y16,Y20,Y29)</f>
        <v>9700</v>
      </c>
      <c r="E45" s="227">
        <f t="shared" si="16"/>
        <v>27000</v>
      </c>
      <c r="F45" s="121">
        <f t="shared" si="17"/>
        <v>70800</v>
      </c>
      <c r="G45" s="121">
        <f t="shared" si="18"/>
        <v>52194</v>
      </c>
      <c r="H45" s="44"/>
      <c r="I45" s="44"/>
      <c r="J45" s="44"/>
      <c r="K45" s="44"/>
      <c r="L45" s="44"/>
      <c r="M45" s="44"/>
      <c r="N45" s="44"/>
      <c r="O45" s="44"/>
      <c r="P45" s="119"/>
      <c r="Q45" s="44"/>
      <c r="R45" s="44"/>
      <c r="S45" s="229" t="s">
        <v>319</v>
      </c>
      <c r="T45" s="230" t="s">
        <v>320</v>
      </c>
      <c r="U45" s="231"/>
      <c r="V45" s="231"/>
      <c r="W45" s="231"/>
      <c r="X45" s="232"/>
      <c r="Y45" s="231"/>
      <c r="Z45" s="231"/>
      <c r="AA45" s="231"/>
      <c r="AB45" s="233"/>
      <c r="AC45" s="44"/>
      <c r="AD45" s="44"/>
      <c r="AE45" s="44"/>
      <c r="AF45" s="44"/>
      <c r="AG45" s="44"/>
      <c r="AH45" s="44"/>
      <c r="AI45" s="119" t="s">
        <v>145</v>
      </c>
      <c r="AJ45" s="44"/>
      <c r="AK45" s="44"/>
      <c r="AL45" s="119" t="s">
        <v>146</v>
      </c>
      <c r="AM45" s="44"/>
      <c r="AN45" s="44"/>
      <c r="AO45" s="234" t="s">
        <v>147</v>
      </c>
      <c r="AP45" s="44"/>
      <c r="AQ45" s="44"/>
      <c r="AR45" s="44"/>
    </row>
    <row r="46">
      <c r="A46" s="119" t="s">
        <v>126</v>
      </c>
      <c r="B46" s="44">
        <f t="shared" si="14"/>
        <v>11</v>
      </c>
      <c r="C46" s="127">
        <f t="shared" si="15"/>
        <v>19245.45455</v>
      </c>
      <c r="D46" s="44">
        <f>MEDIAN(Y13,Y14,Y15,Y18,Y17,Y30,Y31,Y32,Y33,Y36,Y38)</f>
        <v>17100</v>
      </c>
      <c r="E46" s="227">
        <f t="shared" si="16"/>
        <v>211700</v>
      </c>
      <c r="F46" s="121">
        <f t="shared" si="17"/>
        <v>370200</v>
      </c>
      <c r="G46" s="121">
        <f t="shared" si="18"/>
        <v>272910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235">
        <v>1.0</v>
      </c>
      <c r="T46" s="236" t="s">
        <v>321</v>
      </c>
      <c r="U46" s="237"/>
      <c r="V46" s="237"/>
      <c r="W46" s="237"/>
      <c r="X46" s="238"/>
      <c r="Y46" s="237"/>
      <c r="Z46" s="237"/>
      <c r="AA46" s="237"/>
      <c r="AB46" s="239"/>
      <c r="AC46" s="44"/>
      <c r="AD46" s="44"/>
      <c r="AE46" s="44"/>
      <c r="AF46" s="44"/>
      <c r="AG46" s="44"/>
      <c r="AH46" s="44"/>
      <c r="AI46" s="119" t="s">
        <v>149</v>
      </c>
      <c r="AJ46" s="119" t="s">
        <v>150</v>
      </c>
      <c r="AK46" s="44"/>
      <c r="AL46" s="119" t="s">
        <v>149</v>
      </c>
      <c r="AM46" s="119" t="s">
        <v>151</v>
      </c>
      <c r="AN46" s="44"/>
      <c r="AO46" s="119" t="s">
        <v>149</v>
      </c>
      <c r="AP46" s="119" t="s">
        <v>152</v>
      </c>
      <c r="AQ46" s="44"/>
      <c r="AR46" s="44"/>
    </row>
    <row r="47">
      <c r="A47" s="119" t="s">
        <v>139</v>
      </c>
      <c r="B47" s="44">
        <f t="shared" si="14"/>
        <v>6</v>
      </c>
      <c r="C47" s="127">
        <f t="shared" si="15"/>
        <v>13350</v>
      </c>
      <c r="D47" s="44">
        <f>MEDIAN(Y24,Y25,Y26,Y27,Y28,Y35)</f>
        <v>13150</v>
      </c>
      <c r="E47" s="227">
        <f t="shared" si="16"/>
        <v>80100</v>
      </c>
      <c r="F47" s="121">
        <f t="shared" si="17"/>
        <v>174600</v>
      </c>
      <c r="G47" s="121">
        <f t="shared" si="18"/>
        <v>128714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235">
        <v>2.0</v>
      </c>
      <c r="T47" s="236" t="s">
        <v>322</v>
      </c>
      <c r="U47" s="237"/>
      <c r="V47" s="237"/>
      <c r="W47" s="237"/>
      <c r="X47" s="238"/>
      <c r="Y47" s="237"/>
      <c r="Z47" s="237"/>
      <c r="AA47" s="237"/>
      <c r="AB47" s="239"/>
      <c r="AC47" s="44"/>
      <c r="AD47" s="44"/>
      <c r="AE47" s="44"/>
      <c r="AF47" s="44"/>
      <c r="AG47" s="44"/>
      <c r="AH47" s="44"/>
      <c r="AI47" s="119">
        <v>1.0</v>
      </c>
      <c r="AJ47" s="119">
        <v>3.0</v>
      </c>
      <c r="AK47" s="44"/>
      <c r="AL47" s="119">
        <v>1.0</v>
      </c>
      <c r="AM47" s="119">
        <v>3.5</v>
      </c>
      <c r="AN47" s="44"/>
      <c r="AO47" s="119">
        <v>1.0</v>
      </c>
      <c r="AP47" s="44"/>
      <c r="AQ47" s="44"/>
      <c r="AR47" s="44"/>
    </row>
    <row r="48">
      <c r="A48" s="44"/>
      <c r="B48" s="44">
        <f>SUM(B43:B47)</f>
        <v>28</v>
      </c>
      <c r="C48" s="44"/>
      <c r="D48" s="118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235"/>
      <c r="T48" s="240"/>
      <c r="U48" s="237"/>
      <c r="V48" s="237"/>
      <c r="W48" s="237"/>
      <c r="X48" s="238"/>
      <c r="Y48" s="237"/>
      <c r="Z48" s="237"/>
      <c r="AA48" s="237"/>
      <c r="AB48" s="239"/>
      <c r="AC48" s="44"/>
      <c r="AD48" s="44"/>
      <c r="AE48" s="44"/>
      <c r="AF48" s="44"/>
      <c r="AG48" s="44"/>
      <c r="AH48" s="44"/>
      <c r="AI48" s="198"/>
      <c r="AJ48" s="198"/>
      <c r="AK48" s="197"/>
      <c r="AL48" s="198"/>
      <c r="AM48" s="198"/>
      <c r="AN48" s="197"/>
      <c r="AO48" s="198"/>
      <c r="AP48" s="197"/>
      <c r="AQ48" s="197"/>
      <c r="AR48" s="44"/>
    </row>
    <row r="49">
      <c r="A49" s="44"/>
      <c r="B49" s="44"/>
      <c r="C49" s="44"/>
      <c r="D49" s="118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241"/>
      <c r="T49" s="236" t="s">
        <v>323</v>
      </c>
      <c r="U49" s="237"/>
      <c r="V49" s="237"/>
      <c r="W49" s="237"/>
      <c r="X49" s="238"/>
      <c r="Y49" s="237"/>
      <c r="Z49" s="237"/>
      <c r="AA49" s="237"/>
      <c r="AB49" s="239"/>
      <c r="AC49" s="44"/>
      <c r="AD49" s="44"/>
      <c r="AE49" s="44"/>
      <c r="AF49" s="44"/>
      <c r="AG49" s="44"/>
      <c r="AH49" s="44"/>
      <c r="AI49" s="197"/>
      <c r="AJ49" s="197"/>
      <c r="AK49" s="197"/>
      <c r="AL49" s="197"/>
      <c r="AM49" s="197"/>
      <c r="AN49" s="197"/>
      <c r="AO49" s="197"/>
      <c r="AP49" s="197"/>
      <c r="AQ49" s="197"/>
      <c r="AR49" s="44"/>
    </row>
    <row r="50">
      <c r="A50" s="44"/>
      <c r="B50" s="44"/>
      <c r="C50" s="44"/>
      <c r="D50" s="118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235">
        <v>1.0</v>
      </c>
      <c r="T50" s="236" t="s">
        <v>324</v>
      </c>
      <c r="U50" s="237"/>
      <c r="V50" s="237"/>
      <c r="W50" s="237"/>
      <c r="X50" s="238"/>
      <c r="Y50" s="237"/>
      <c r="Z50" s="237"/>
      <c r="AA50" s="237"/>
      <c r="AB50" s="239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</row>
    <row r="51">
      <c r="A51" s="44"/>
      <c r="B51" s="44"/>
      <c r="C51" s="44"/>
      <c r="D51" s="118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235"/>
      <c r="T51" s="240"/>
      <c r="U51" s="237"/>
      <c r="V51" s="237"/>
      <c r="W51" s="237"/>
      <c r="X51" s="238"/>
      <c r="Y51" s="237"/>
      <c r="Z51" s="237"/>
      <c r="AA51" s="237"/>
      <c r="AB51" s="239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</row>
    <row r="52">
      <c r="A52" s="44"/>
      <c r="B52" s="44"/>
      <c r="C52" s="44"/>
      <c r="D52" s="118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241"/>
      <c r="T52" s="236" t="s">
        <v>325</v>
      </c>
      <c r="U52" s="237"/>
      <c r="V52" s="237"/>
      <c r="W52" s="237"/>
      <c r="X52" s="238"/>
      <c r="Y52" s="237"/>
      <c r="Z52" s="237"/>
      <c r="AA52" s="237"/>
      <c r="AB52" s="239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</row>
    <row r="53">
      <c r="A53" s="44"/>
      <c r="B53" s="44"/>
      <c r="C53" s="44"/>
      <c r="D53" s="118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235">
        <v>1.0</v>
      </c>
      <c r="T53" s="236" t="s">
        <v>326</v>
      </c>
      <c r="U53" s="237"/>
      <c r="V53" s="237"/>
      <c r="W53" s="237"/>
      <c r="X53" s="238"/>
      <c r="Y53" s="237"/>
      <c r="Z53" s="237"/>
      <c r="AA53" s="237"/>
      <c r="AB53" s="239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</row>
    <row r="54">
      <c r="A54" s="44"/>
      <c r="B54" s="44"/>
      <c r="C54" s="44"/>
      <c r="D54" s="118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235">
        <v>2.0</v>
      </c>
      <c r="T54" s="236" t="s">
        <v>327</v>
      </c>
      <c r="U54" s="237"/>
      <c r="V54" s="237"/>
      <c r="W54" s="237"/>
      <c r="X54" s="238"/>
      <c r="Y54" s="237"/>
      <c r="Z54" s="237"/>
      <c r="AA54" s="237"/>
      <c r="AB54" s="239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</row>
    <row r="55">
      <c r="A55" s="44"/>
      <c r="B55" s="44"/>
      <c r="C55" s="44"/>
      <c r="D55" s="118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242">
        <v>3.0</v>
      </c>
      <c r="T55" s="243" t="s">
        <v>328</v>
      </c>
      <c r="U55" s="237"/>
      <c r="V55" s="237"/>
      <c r="W55" s="237"/>
      <c r="X55" s="238"/>
      <c r="Y55" s="237"/>
      <c r="Z55" s="237"/>
      <c r="AA55" s="237"/>
      <c r="AB55" s="239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</row>
    <row r="56">
      <c r="A56" s="44"/>
      <c r="B56" s="44"/>
      <c r="C56" s="44"/>
      <c r="D56" s="118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242">
        <v>4.0</v>
      </c>
      <c r="T56" s="243" t="s">
        <v>329</v>
      </c>
      <c r="U56" s="237"/>
      <c r="V56" s="237"/>
      <c r="W56" s="237"/>
      <c r="X56" s="238"/>
      <c r="Y56" s="237"/>
      <c r="Z56" s="237"/>
      <c r="AA56" s="237"/>
      <c r="AB56" s="239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</row>
    <row r="57">
      <c r="A57" s="44"/>
      <c r="B57" s="44"/>
      <c r="C57" s="44"/>
      <c r="D57" s="118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244"/>
      <c r="T57" s="245"/>
      <c r="U57" s="237"/>
      <c r="V57" s="237"/>
      <c r="W57" s="237"/>
      <c r="X57" s="238"/>
      <c r="Y57" s="237"/>
      <c r="Z57" s="237"/>
      <c r="AA57" s="237"/>
      <c r="AB57" s="239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</row>
    <row r="58">
      <c r="A58" s="44"/>
      <c r="B58" s="44"/>
      <c r="C58" s="44"/>
      <c r="D58" s="118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244"/>
      <c r="T58" s="245"/>
      <c r="U58" s="237"/>
      <c r="V58" s="237"/>
      <c r="W58" s="237"/>
      <c r="X58" s="238"/>
      <c r="Y58" s="237"/>
      <c r="Z58" s="237"/>
      <c r="AA58" s="237"/>
      <c r="AB58" s="239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</row>
    <row r="59">
      <c r="A59" s="44"/>
      <c r="B59" s="44"/>
      <c r="C59" s="44"/>
      <c r="D59" s="118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241"/>
      <c r="T59" s="236" t="s">
        <v>330</v>
      </c>
      <c r="U59" s="237"/>
      <c r="V59" s="237"/>
      <c r="W59" s="237"/>
      <c r="X59" s="238"/>
      <c r="Y59" s="237"/>
      <c r="Z59" s="237"/>
      <c r="AA59" s="237"/>
      <c r="AB59" s="239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</row>
    <row r="60">
      <c r="A60" s="44"/>
      <c r="B60" s="44"/>
      <c r="C60" s="44"/>
      <c r="D60" s="118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235">
        <v>1.0</v>
      </c>
      <c r="T60" s="236" t="s">
        <v>331</v>
      </c>
      <c r="U60" s="237"/>
      <c r="V60" s="237"/>
      <c r="W60" s="237"/>
      <c r="X60" s="238"/>
      <c r="Y60" s="237"/>
      <c r="Z60" s="237"/>
      <c r="AA60" s="237"/>
      <c r="AB60" s="239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</row>
    <row r="61">
      <c r="A61" s="44"/>
      <c r="B61" s="44"/>
      <c r="C61" s="44"/>
      <c r="D61" s="118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235">
        <v>2.0</v>
      </c>
      <c r="T61" s="236" t="s">
        <v>332</v>
      </c>
      <c r="U61" s="237"/>
      <c r="V61" s="237"/>
      <c r="W61" s="237"/>
      <c r="X61" s="238"/>
      <c r="Y61" s="237"/>
      <c r="Z61" s="237"/>
      <c r="AA61" s="237"/>
      <c r="AB61" s="239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</row>
    <row r="62">
      <c r="A62" s="44"/>
      <c r="B62" s="44"/>
      <c r="C62" s="44"/>
      <c r="D62" s="118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235">
        <v>3.0</v>
      </c>
      <c r="T62" s="236" t="s">
        <v>333</v>
      </c>
      <c r="U62" s="237"/>
      <c r="V62" s="237"/>
      <c r="W62" s="237"/>
      <c r="X62" s="238"/>
      <c r="Y62" s="237"/>
      <c r="Z62" s="237"/>
      <c r="AA62" s="237"/>
      <c r="AB62" s="239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</row>
    <row r="63">
      <c r="A63" s="44"/>
      <c r="B63" s="44"/>
      <c r="C63" s="44"/>
      <c r="D63" s="118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241"/>
      <c r="T63" s="240"/>
      <c r="U63" s="237"/>
      <c r="V63" s="237"/>
      <c r="W63" s="237"/>
      <c r="X63" s="238"/>
      <c r="Y63" s="237"/>
      <c r="Z63" s="237"/>
      <c r="AA63" s="237"/>
      <c r="AB63" s="239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</row>
    <row r="64">
      <c r="A64" s="44"/>
      <c r="B64" s="44"/>
      <c r="C64" s="44"/>
      <c r="D64" s="118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235">
        <v>1.0</v>
      </c>
      <c r="T64" s="236" t="s">
        <v>334</v>
      </c>
      <c r="U64" s="237"/>
      <c r="V64" s="237"/>
      <c r="W64" s="237"/>
      <c r="X64" s="238"/>
      <c r="Y64" s="237"/>
      <c r="Z64" s="237"/>
      <c r="AA64" s="237"/>
      <c r="AB64" s="239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</row>
    <row r="65">
      <c r="A65" s="44"/>
      <c r="B65" s="44"/>
      <c r="C65" s="44"/>
      <c r="D65" s="118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236">
        <v>2.0</v>
      </c>
      <c r="T65" s="236" t="s">
        <v>335</v>
      </c>
      <c r="U65" s="237"/>
      <c r="V65" s="237"/>
      <c r="W65" s="237"/>
      <c r="X65" s="238"/>
      <c r="Y65" s="237"/>
      <c r="Z65" s="237"/>
      <c r="AA65" s="237"/>
      <c r="AB65" s="237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</row>
    <row r="66">
      <c r="A66" s="44"/>
      <c r="B66" s="44"/>
      <c r="C66" s="44"/>
      <c r="D66" s="118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236">
        <v>3.0</v>
      </c>
      <c r="T66" s="240"/>
      <c r="U66" s="237"/>
      <c r="V66" s="237"/>
      <c r="W66" s="237"/>
      <c r="X66" s="238"/>
      <c r="Y66" s="237"/>
      <c r="Z66" s="237"/>
      <c r="AA66" s="237"/>
      <c r="AB66" s="237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</row>
    <row r="67">
      <c r="A67" s="44"/>
      <c r="B67" s="44"/>
      <c r="C67" s="44"/>
      <c r="D67" s="118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236">
        <v>4.0</v>
      </c>
      <c r="T67" s="240"/>
      <c r="U67" s="237"/>
      <c r="V67" s="237"/>
      <c r="W67" s="237"/>
      <c r="X67" s="238"/>
      <c r="Y67" s="237"/>
      <c r="Z67" s="237"/>
      <c r="AA67" s="237"/>
      <c r="AB67" s="237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</row>
    <row r="68">
      <c r="A68" s="44"/>
      <c r="B68" s="44"/>
      <c r="C68" s="44"/>
      <c r="D68" s="118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120"/>
      <c r="U68" s="44"/>
      <c r="V68" s="44"/>
      <c r="W68" s="44"/>
      <c r="X68" s="121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</row>
    <row r="69">
      <c r="A69" s="44"/>
      <c r="B69" s="44"/>
      <c r="C69" s="44"/>
      <c r="D69" s="118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120"/>
      <c r="U69" s="44"/>
      <c r="V69" s="44"/>
      <c r="W69" s="44"/>
      <c r="X69" s="121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</row>
    <row r="70">
      <c r="A70" s="44"/>
      <c r="B70" s="44"/>
      <c r="C70" s="44"/>
      <c r="D70" s="118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120"/>
      <c r="U70" s="44"/>
      <c r="V70" s="44"/>
      <c r="W70" s="44"/>
      <c r="X70" s="121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</row>
    <row r="71">
      <c r="A71" s="44"/>
      <c r="B71" s="44"/>
      <c r="C71" s="44"/>
      <c r="D71" s="118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120"/>
      <c r="U71" s="44"/>
      <c r="V71" s="44"/>
      <c r="W71" s="44"/>
      <c r="X71" s="121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</row>
    <row r="72">
      <c r="A72" s="44"/>
      <c r="B72" s="44"/>
      <c r="C72" s="44"/>
      <c r="D72" s="118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120"/>
      <c r="U72" s="44"/>
      <c r="V72" s="44"/>
      <c r="W72" s="44"/>
      <c r="X72" s="121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</row>
    <row r="73">
      <c r="A73" s="44"/>
      <c r="B73" s="44"/>
      <c r="C73" s="44"/>
      <c r="D73" s="118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120"/>
      <c r="U73" s="44"/>
      <c r="V73" s="44"/>
      <c r="W73" s="44"/>
      <c r="X73" s="121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</row>
    <row r="74">
      <c r="A74" s="44"/>
      <c r="B74" s="44"/>
      <c r="C74" s="44"/>
      <c r="D74" s="118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120"/>
      <c r="U74" s="44"/>
      <c r="V74" s="44"/>
      <c r="W74" s="44"/>
      <c r="X74" s="121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</row>
    <row r="75">
      <c r="A75" s="44"/>
      <c r="B75" s="44"/>
      <c r="C75" s="44"/>
      <c r="D75" s="118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120"/>
      <c r="U75" s="44"/>
      <c r="V75" s="44"/>
      <c r="W75" s="44"/>
      <c r="X75" s="121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</row>
    <row r="76">
      <c r="A76" s="44"/>
      <c r="B76" s="44"/>
      <c r="C76" s="44"/>
      <c r="D76" s="118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120"/>
      <c r="U76" s="44"/>
      <c r="V76" s="44"/>
      <c r="W76" s="44"/>
      <c r="X76" s="121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</row>
    <row r="77">
      <c r="A77" s="44"/>
      <c r="B77" s="44"/>
      <c r="C77" s="44"/>
      <c r="D77" s="118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120"/>
      <c r="U77" s="44"/>
      <c r="V77" s="44"/>
      <c r="W77" s="44"/>
      <c r="X77" s="121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</row>
    <row r="78">
      <c r="A78" s="44"/>
      <c r="B78" s="44"/>
      <c r="C78" s="44"/>
      <c r="D78" s="118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120"/>
      <c r="U78" s="44"/>
      <c r="V78" s="44"/>
      <c r="W78" s="44"/>
      <c r="X78" s="121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</row>
    <row r="79">
      <c r="A79" s="44"/>
      <c r="B79" s="44"/>
      <c r="C79" s="44"/>
      <c r="D79" s="118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120"/>
      <c r="U79" s="44"/>
      <c r="V79" s="44"/>
      <c r="W79" s="44"/>
      <c r="X79" s="121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</row>
    <row r="80">
      <c r="A80" s="44"/>
      <c r="B80" s="44"/>
      <c r="C80" s="44"/>
      <c r="D80" s="118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120"/>
      <c r="U80" s="44"/>
      <c r="V80" s="44"/>
      <c r="W80" s="44"/>
      <c r="X80" s="121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</row>
    <row r="81">
      <c r="A81" s="44"/>
      <c r="B81" s="44"/>
      <c r="C81" s="44"/>
      <c r="D81" s="118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120"/>
      <c r="U81" s="44"/>
      <c r="V81" s="44"/>
      <c r="W81" s="44"/>
      <c r="X81" s="121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</row>
    <row r="82">
      <c r="A82" s="44"/>
      <c r="B82" s="44"/>
      <c r="C82" s="44"/>
      <c r="D82" s="118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120"/>
      <c r="U82" s="44"/>
      <c r="V82" s="44"/>
      <c r="W82" s="44"/>
      <c r="X82" s="121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</row>
    <row r="83">
      <c r="A83" s="44"/>
      <c r="B83" s="44"/>
      <c r="C83" s="44"/>
      <c r="D83" s="118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120"/>
      <c r="U83" s="44"/>
      <c r="V83" s="44"/>
      <c r="W83" s="44"/>
      <c r="X83" s="121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</row>
    <row r="84">
      <c r="A84" s="44"/>
      <c r="B84" s="44"/>
      <c r="C84" s="44"/>
      <c r="D84" s="118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120"/>
      <c r="U84" s="44"/>
      <c r="V84" s="44"/>
      <c r="W84" s="44"/>
      <c r="X84" s="121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</row>
    <row r="85">
      <c r="A85" s="44"/>
      <c r="B85" s="44"/>
      <c r="C85" s="44"/>
      <c r="D85" s="118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120"/>
      <c r="U85" s="44"/>
      <c r="V85" s="44"/>
      <c r="W85" s="44"/>
      <c r="X85" s="121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</row>
    <row r="86">
      <c r="A86" s="44"/>
      <c r="B86" s="44"/>
      <c r="C86" s="44"/>
      <c r="D86" s="118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120"/>
      <c r="U86" s="44"/>
      <c r="V86" s="44"/>
      <c r="W86" s="44"/>
      <c r="X86" s="121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</row>
    <row r="87">
      <c r="A87" s="44"/>
      <c r="B87" s="44"/>
      <c r="C87" s="44"/>
      <c r="D87" s="118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120"/>
      <c r="U87" s="44"/>
      <c r="V87" s="44"/>
      <c r="W87" s="44"/>
      <c r="X87" s="121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</row>
    <row r="88">
      <c r="A88" s="44"/>
      <c r="B88" s="44"/>
      <c r="C88" s="44"/>
      <c r="D88" s="118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120"/>
      <c r="U88" s="44"/>
      <c r="V88" s="44"/>
      <c r="W88" s="44"/>
      <c r="X88" s="121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</row>
    <row r="89">
      <c r="A89" s="44"/>
      <c r="B89" s="44"/>
      <c r="C89" s="44"/>
      <c r="D89" s="118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120"/>
      <c r="U89" s="44"/>
      <c r="V89" s="44"/>
      <c r="W89" s="44"/>
      <c r="X89" s="121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</row>
    <row r="90">
      <c r="A90" s="44"/>
      <c r="B90" s="44"/>
      <c r="C90" s="44"/>
      <c r="D90" s="118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120"/>
      <c r="U90" s="44"/>
      <c r="V90" s="44"/>
      <c r="W90" s="44"/>
      <c r="X90" s="121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</row>
    <row r="91">
      <c r="A91" s="44"/>
      <c r="B91" s="44"/>
      <c r="C91" s="44"/>
      <c r="D91" s="118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120"/>
      <c r="U91" s="44"/>
      <c r="V91" s="44"/>
      <c r="W91" s="44"/>
      <c r="X91" s="121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</row>
    <row r="92">
      <c r="A92" s="44"/>
      <c r="B92" s="44"/>
      <c r="C92" s="44"/>
      <c r="D92" s="118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120"/>
      <c r="U92" s="44"/>
      <c r="V92" s="44"/>
      <c r="W92" s="44"/>
      <c r="X92" s="121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</row>
    <row r="93">
      <c r="A93" s="44"/>
      <c r="B93" s="44"/>
      <c r="C93" s="44"/>
      <c r="D93" s="118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120"/>
      <c r="U93" s="44"/>
      <c r="V93" s="44"/>
      <c r="W93" s="44"/>
      <c r="X93" s="121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</row>
    <row r="94">
      <c r="A94" s="44"/>
      <c r="B94" s="44"/>
      <c r="C94" s="44"/>
      <c r="D94" s="118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120"/>
      <c r="U94" s="44"/>
      <c r="V94" s="44"/>
      <c r="W94" s="44"/>
      <c r="X94" s="121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</row>
    <row r="95">
      <c r="A95" s="44"/>
      <c r="B95" s="44"/>
      <c r="C95" s="44"/>
      <c r="D95" s="118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120"/>
      <c r="U95" s="44"/>
      <c r="V95" s="44"/>
      <c r="W95" s="44"/>
      <c r="X95" s="121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</row>
    <row r="96">
      <c r="A96" s="44"/>
      <c r="B96" s="44"/>
      <c r="C96" s="44"/>
      <c r="D96" s="118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120"/>
      <c r="U96" s="44"/>
      <c r="V96" s="44"/>
      <c r="W96" s="44"/>
      <c r="X96" s="121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</row>
    <row r="97">
      <c r="A97" s="44"/>
      <c r="B97" s="44"/>
      <c r="C97" s="44"/>
      <c r="D97" s="118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120"/>
      <c r="U97" s="44"/>
      <c r="V97" s="44"/>
      <c r="W97" s="44"/>
      <c r="X97" s="121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</row>
    <row r="98">
      <c r="A98" s="44"/>
      <c r="B98" s="44"/>
      <c r="C98" s="44"/>
      <c r="D98" s="118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120"/>
      <c r="U98" s="44"/>
      <c r="V98" s="44"/>
      <c r="W98" s="44"/>
      <c r="X98" s="121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</row>
    <row r="99">
      <c r="A99" s="44"/>
      <c r="B99" s="44"/>
      <c r="C99" s="44"/>
      <c r="D99" s="118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120"/>
      <c r="U99" s="44"/>
      <c r="V99" s="44"/>
      <c r="W99" s="44"/>
      <c r="X99" s="121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</row>
    <row r="100">
      <c r="A100" s="44"/>
      <c r="B100" s="44"/>
      <c r="C100" s="44"/>
      <c r="D100" s="118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120"/>
      <c r="U100" s="44"/>
      <c r="V100" s="44"/>
      <c r="W100" s="44"/>
      <c r="X100" s="121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</row>
    <row r="101">
      <c r="A101" s="44"/>
      <c r="B101" s="44"/>
      <c r="C101" s="44"/>
      <c r="D101" s="118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120"/>
      <c r="U101" s="44"/>
      <c r="V101" s="44"/>
      <c r="W101" s="44"/>
      <c r="X101" s="121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</row>
    <row r="102">
      <c r="A102" s="44"/>
      <c r="B102" s="44"/>
      <c r="C102" s="44"/>
      <c r="D102" s="118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120"/>
      <c r="U102" s="44"/>
      <c r="V102" s="44"/>
      <c r="W102" s="44"/>
      <c r="X102" s="121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</row>
    <row r="103">
      <c r="A103" s="44"/>
      <c r="B103" s="44"/>
      <c r="C103" s="44"/>
      <c r="D103" s="118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120"/>
      <c r="U103" s="44"/>
      <c r="V103" s="44"/>
      <c r="W103" s="44"/>
      <c r="X103" s="121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</row>
    <row r="104">
      <c r="A104" s="44"/>
      <c r="B104" s="44"/>
      <c r="C104" s="44"/>
      <c r="D104" s="118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120"/>
      <c r="U104" s="44"/>
      <c r="V104" s="44"/>
      <c r="W104" s="44"/>
      <c r="X104" s="121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</row>
    <row r="105">
      <c r="A105" s="44"/>
      <c r="B105" s="44"/>
      <c r="C105" s="44"/>
      <c r="D105" s="118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120"/>
      <c r="U105" s="44"/>
      <c r="V105" s="44"/>
      <c r="W105" s="44"/>
      <c r="X105" s="121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</row>
    <row r="106">
      <c r="A106" s="44"/>
      <c r="B106" s="44"/>
      <c r="C106" s="44"/>
      <c r="D106" s="118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120"/>
      <c r="U106" s="44"/>
      <c r="V106" s="44"/>
      <c r="W106" s="44"/>
      <c r="X106" s="121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</row>
    <row r="107">
      <c r="A107" s="44"/>
      <c r="B107" s="44"/>
      <c r="C107" s="44"/>
      <c r="D107" s="118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120"/>
      <c r="U107" s="44"/>
      <c r="V107" s="44"/>
      <c r="W107" s="44"/>
      <c r="X107" s="121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</row>
    <row r="108">
      <c r="A108" s="44"/>
      <c r="B108" s="44"/>
      <c r="C108" s="44"/>
      <c r="D108" s="118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120"/>
      <c r="U108" s="44"/>
      <c r="V108" s="44"/>
      <c r="W108" s="44"/>
      <c r="X108" s="121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</row>
    <row r="109">
      <c r="A109" s="44"/>
      <c r="B109" s="44"/>
      <c r="C109" s="44"/>
      <c r="D109" s="118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120"/>
      <c r="U109" s="44"/>
      <c r="V109" s="44"/>
      <c r="W109" s="44"/>
      <c r="X109" s="121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</row>
    <row r="110">
      <c r="A110" s="44"/>
      <c r="B110" s="44"/>
      <c r="C110" s="44"/>
      <c r="D110" s="118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120"/>
      <c r="U110" s="44"/>
      <c r="V110" s="44"/>
      <c r="W110" s="44"/>
      <c r="X110" s="121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</row>
    <row r="111">
      <c r="A111" s="44"/>
      <c r="B111" s="44"/>
      <c r="C111" s="44"/>
      <c r="D111" s="118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120"/>
      <c r="U111" s="44"/>
      <c r="V111" s="44"/>
      <c r="W111" s="44"/>
      <c r="X111" s="121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</row>
    <row r="112">
      <c r="A112" s="44"/>
      <c r="B112" s="44"/>
      <c r="C112" s="44"/>
      <c r="D112" s="118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120"/>
      <c r="U112" s="44"/>
      <c r="V112" s="44"/>
      <c r="W112" s="44"/>
      <c r="X112" s="121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</row>
    <row r="113">
      <c r="A113" s="44"/>
      <c r="B113" s="44"/>
      <c r="C113" s="44"/>
      <c r="D113" s="118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120"/>
      <c r="U113" s="44"/>
      <c r="V113" s="44"/>
      <c r="W113" s="44"/>
      <c r="X113" s="121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</row>
    <row r="114">
      <c r="A114" s="44"/>
      <c r="B114" s="44"/>
      <c r="C114" s="44"/>
      <c r="D114" s="118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120"/>
      <c r="U114" s="44"/>
      <c r="V114" s="44"/>
      <c r="W114" s="44"/>
      <c r="X114" s="121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</row>
    <row r="115">
      <c r="A115" s="44"/>
      <c r="B115" s="44"/>
      <c r="C115" s="44"/>
      <c r="D115" s="118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120"/>
      <c r="U115" s="44"/>
      <c r="V115" s="44"/>
      <c r="W115" s="44"/>
      <c r="X115" s="121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</row>
    <row r="116">
      <c r="A116" s="44"/>
      <c r="B116" s="44"/>
      <c r="C116" s="44"/>
      <c r="D116" s="118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120"/>
      <c r="U116" s="44"/>
      <c r="V116" s="44"/>
      <c r="W116" s="44"/>
      <c r="X116" s="121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</row>
    <row r="117">
      <c r="A117" s="44"/>
      <c r="B117" s="44"/>
      <c r="C117" s="44"/>
      <c r="D117" s="118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120"/>
      <c r="U117" s="44"/>
      <c r="V117" s="44"/>
      <c r="W117" s="44"/>
      <c r="X117" s="121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</row>
    <row r="118">
      <c r="A118" s="44"/>
      <c r="B118" s="44"/>
      <c r="C118" s="44"/>
      <c r="D118" s="118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120"/>
      <c r="U118" s="44"/>
      <c r="V118" s="44"/>
      <c r="W118" s="44"/>
      <c r="X118" s="121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</row>
    <row r="119">
      <c r="A119" s="44"/>
      <c r="B119" s="44"/>
      <c r="C119" s="44"/>
      <c r="D119" s="118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120"/>
      <c r="U119" s="44"/>
      <c r="V119" s="44"/>
      <c r="W119" s="44"/>
      <c r="X119" s="121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</row>
    <row r="120">
      <c r="A120" s="44"/>
      <c r="B120" s="44"/>
      <c r="C120" s="44"/>
      <c r="D120" s="118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120"/>
      <c r="U120" s="44"/>
      <c r="V120" s="44"/>
      <c r="W120" s="44"/>
      <c r="X120" s="121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</row>
    <row r="121">
      <c r="A121" s="44"/>
      <c r="B121" s="44"/>
      <c r="C121" s="44"/>
      <c r="D121" s="118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120"/>
      <c r="U121" s="44"/>
      <c r="V121" s="44"/>
      <c r="W121" s="44"/>
      <c r="X121" s="121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</row>
    <row r="122">
      <c r="A122" s="44"/>
      <c r="B122" s="44"/>
      <c r="C122" s="44"/>
      <c r="D122" s="118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120"/>
      <c r="U122" s="44"/>
      <c r="V122" s="44"/>
      <c r="W122" s="44"/>
      <c r="X122" s="121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</row>
    <row r="123">
      <c r="A123" s="44"/>
      <c r="B123" s="44"/>
      <c r="C123" s="44"/>
      <c r="D123" s="118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120"/>
      <c r="U123" s="44"/>
      <c r="V123" s="44"/>
      <c r="W123" s="44"/>
      <c r="X123" s="121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</row>
    <row r="124">
      <c r="A124" s="44"/>
      <c r="B124" s="44"/>
      <c r="C124" s="44"/>
      <c r="D124" s="118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120"/>
      <c r="U124" s="44"/>
      <c r="V124" s="44"/>
      <c r="W124" s="44"/>
      <c r="X124" s="121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</row>
    <row r="125">
      <c r="A125" s="44"/>
      <c r="B125" s="44"/>
      <c r="C125" s="44"/>
      <c r="D125" s="118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120"/>
      <c r="U125" s="44"/>
      <c r="V125" s="44"/>
      <c r="W125" s="44"/>
      <c r="X125" s="121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</row>
    <row r="126">
      <c r="A126" s="44"/>
      <c r="B126" s="44"/>
      <c r="C126" s="44"/>
      <c r="D126" s="118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120"/>
      <c r="U126" s="44"/>
      <c r="V126" s="44"/>
      <c r="W126" s="44"/>
      <c r="X126" s="121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</row>
    <row r="127">
      <c r="A127" s="44"/>
      <c r="B127" s="44"/>
      <c r="C127" s="44"/>
      <c r="D127" s="118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120"/>
      <c r="U127" s="44"/>
      <c r="V127" s="44"/>
      <c r="W127" s="44"/>
      <c r="X127" s="121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</row>
    <row r="128">
      <c r="A128" s="44"/>
      <c r="B128" s="44"/>
      <c r="C128" s="44"/>
      <c r="D128" s="118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120"/>
      <c r="U128" s="44"/>
      <c r="V128" s="44"/>
      <c r="W128" s="44"/>
      <c r="X128" s="121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</row>
    <row r="129">
      <c r="A129" s="44"/>
      <c r="B129" s="44"/>
      <c r="C129" s="44"/>
      <c r="D129" s="118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120"/>
      <c r="U129" s="44"/>
      <c r="V129" s="44"/>
      <c r="W129" s="44"/>
      <c r="X129" s="121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</row>
    <row r="130">
      <c r="A130" s="44"/>
      <c r="B130" s="44"/>
      <c r="C130" s="44"/>
      <c r="D130" s="118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120"/>
      <c r="U130" s="44"/>
      <c r="V130" s="44"/>
      <c r="W130" s="44"/>
      <c r="X130" s="121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</row>
    <row r="131">
      <c r="A131" s="44"/>
      <c r="B131" s="44"/>
      <c r="C131" s="44"/>
      <c r="D131" s="118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120"/>
      <c r="U131" s="44"/>
      <c r="V131" s="44"/>
      <c r="W131" s="44"/>
      <c r="X131" s="121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</row>
    <row r="132">
      <c r="A132" s="44"/>
      <c r="B132" s="44"/>
      <c r="C132" s="44"/>
      <c r="D132" s="118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120"/>
      <c r="U132" s="44"/>
      <c r="V132" s="44"/>
      <c r="W132" s="44"/>
      <c r="X132" s="121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</row>
    <row r="133">
      <c r="A133" s="44"/>
      <c r="B133" s="44"/>
      <c r="C133" s="44"/>
      <c r="D133" s="118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120"/>
      <c r="U133" s="44"/>
      <c r="V133" s="44"/>
      <c r="W133" s="44"/>
      <c r="X133" s="121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</row>
    <row r="134">
      <c r="A134" s="44"/>
      <c r="B134" s="44"/>
      <c r="C134" s="44"/>
      <c r="D134" s="118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120"/>
      <c r="U134" s="44"/>
      <c r="V134" s="44"/>
      <c r="W134" s="44"/>
      <c r="X134" s="121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</row>
    <row r="135">
      <c r="A135" s="44"/>
      <c r="B135" s="44"/>
      <c r="C135" s="44"/>
      <c r="D135" s="118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120"/>
      <c r="U135" s="44"/>
      <c r="V135" s="44"/>
      <c r="W135" s="44"/>
      <c r="X135" s="121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</row>
    <row r="136">
      <c r="A136" s="44"/>
      <c r="B136" s="44"/>
      <c r="C136" s="44"/>
      <c r="D136" s="118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120"/>
      <c r="U136" s="44"/>
      <c r="V136" s="44"/>
      <c r="W136" s="44"/>
      <c r="X136" s="121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</row>
    <row r="137">
      <c r="A137" s="44"/>
      <c r="B137" s="44"/>
      <c r="C137" s="44"/>
      <c r="D137" s="118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120"/>
      <c r="U137" s="44"/>
      <c r="V137" s="44"/>
      <c r="W137" s="44"/>
      <c r="X137" s="121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</row>
    <row r="138">
      <c r="A138" s="44"/>
      <c r="B138" s="44"/>
      <c r="C138" s="44"/>
      <c r="D138" s="118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120"/>
      <c r="U138" s="44"/>
      <c r="V138" s="44"/>
      <c r="W138" s="44"/>
      <c r="X138" s="121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</row>
    <row r="139">
      <c r="A139" s="44"/>
      <c r="B139" s="44"/>
      <c r="C139" s="44"/>
      <c r="D139" s="118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120"/>
      <c r="U139" s="44"/>
      <c r="V139" s="44"/>
      <c r="W139" s="44"/>
      <c r="X139" s="121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</row>
    <row r="140">
      <c r="A140" s="44"/>
      <c r="B140" s="44"/>
      <c r="C140" s="44"/>
      <c r="D140" s="118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120"/>
      <c r="U140" s="44"/>
      <c r="V140" s="44"/>
      <c r="W140" s="44"/>
      <c r="X140" s="121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</row>
    <row r="141">
      <c r="A141" s="44"/>
      <c r="B141" s="44"/>
      <c r="C141" s="44"/>
      <c r="D141" s="118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120"/>
      <c r="U141" s="44"/>
      <c r="V141" s="44"/>
      <c r="W141" s="44"/>
      <c r="X141" s="121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</row>
    <row r="142">
      <c r="A142" s="44"/>
      <c r="B142" s="44"/>
      <c r="C142" s="44"/>
      <c r="D142" s="118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120"/>
      <c r="U142" s="44"/>
      <c r="V142" s="44"/>
      <c r="W142" s="44"/>
      <c r="X142" s="121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</row>
    <row r="143">
      <c r="A143" s="44"/>
      <c r="B143" s="44"/>
      <c r="C143" s="44"/>
      <c r="D143" s="118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120"/>
      <c r="U143" s="44"/>
      <c r="V143" s="44"/>
      <c r="W143" s="44"/>
      <c r="X143" s="121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</row>
    <row r="144">
      <c r="A144" s="44"/>
      <c r="B144" s="44"/>
      <c r="C144" s="44"/>
      <c r="D144" s="118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120"/>
      <c r="U144" s="44"/>
      <c r="V144" s="44"/>
      <c r="W144" s="44"/>
      <c r="X144" s="121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</row>
    <row r="145">
      <c r="A145" s="44"/>
      <c r="B145" s="44"/>
      <c r="C145" s="44"/>
      <c r="D145" s="118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120"/>
      <c r="U145" s="44"/>
      <c r="V145" s="44"/>
      <c r="W145" s="44"/>
      <c r="X145" s="121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</row>
    <row r="146">
      <c r="A146" s="44"/>
      <c r="B146" s="44"/>
      <c r="C146" s="44"/>
      <c r="D146" s="118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120"/>
      <c r="U146" s="44"/>
      <c r="V146" s="44"/>
      <c r="W146" s="44"/>
      <c r="X146" s="121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</row>
    <row r="147">
      <c r="A147" s="44"/>
      <c r="B147" s="44"/>
      <c r="C147" s="44"/>
      <c r="D147" s="118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120"/>
      <c r="U147" s="44"/>
      <c r="V147" s="44"/>
      <c r="W147" s="44"/>
      <c r="X147" s="121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</row>
    <row r="148">
      <c r="A148" s="44"/>
      <c r="B148" s="44"/>
      <c r="C148" s="44"/>
      <c r="D148" s="118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120"/>
      <c r="U148" s="44"/>
      <c r="V148" s="44"/>
      <c r="W148" s="44"/>
      <c r="X148" s="121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</row>
    <row r="149">
      <c r="A149" s="44"/>
      <c r="B149" s="44"/>
      <c r="C149" s="44"/>
      <c r="D149" s="118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120"/>
      <c r="U149" s="44"/>
      <c r="V149" s="44"/>
      <c r="W149" s="44"/>
      <c r="X149" s="121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</row>
    <row r="150">
      <c r="A150" s="44"/>
      <c r="B150" s="44"/>
      <c r="C150" s="44"/>
      <c r="D150" s="118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120"/>
      <c r="U150" s="44"/>
      <c r="V150" s="44"/>
      <c r="W150" s="44"/>
      <c r="X150" s="121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</row>
    <row r="151">
      <c r="A151" s="44"/>
      <c r="B151" s="44"/>
      <c r="C151" s="44"/>
      <c r="D151" s="118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120"/>
      <c r="U151" s="44"/>
      <c r="V151" s="44"/>
      <c r="W151" s="44"/>
      <c r="X151" s="121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</row>
    <row r="152">
      <c r="A152" s="44"/>
      <c r="B152" s="44"/>
      <c r="C152" s="44"/>
      <c r="D152" s="118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120"/>
      <c r="U152" s="44"/>
      <c r="V152" s="44"/>
      <c r="W152" s="44"/>
      <c r="X152" s="121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</row>
    <row r="153">
      <c r="A153" s="44"/>
      <c r="B153" s="44"/>
      <c r="C153" s="44"/>
      <c r="D153" s="118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120"/>
      <c r="U153" s="44"/>
      <c r="V153" s="44"/>
      <c r="W153" s="44"/>
      <c r="X153" s="121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</row>
    <row r="154">
      <c r="A154" s="44"/>
      <c r="B154" s="44"/>
      <c r="C154" s="44"/>
      <c r="D154" s="118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120"/>
      <c r="U154" s="44"/>
      <c r="V154" s="44"/>
      <c r="W154" s="44"/>
      <c r="X154" s="121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</row>
    <row r="155">
      <c r="A155" s="44"/>
      <c r="B155" s="44"/>
      <c r="C155" s="44"/>
      <c r="D155" s="118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120"/>
      <c r="U155" s="44"/>
      <c r="V155" s="44"/>
      <c r="W155" s="44"/>
      <c r="X155" s="121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</row>
    <row r="156">
      <c r="A156" s="44"/>
      <c r="B156" s="44"/>
      <c r="C156" s="44"/>
      <c r="D156" s="118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120"/>
      <c r="U156" s="44"/>
      <c r="V156" s="44"/>
      <c r="W156" s="44"/>
      <c r="X156" s="121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</row>
    <row r="157">
      <c r="A157" s="44"/>
      <c r="B157" s="44"/>
      <c r="C157" s="44"/>
      <c r="D157" s="118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120"/>
      <c r="U157" s="44"/>
      <c r="V157" s="44"/>
      <c r="W157" s="44"/>
      <c r="X157" s="121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</row>
    <row r="158">
      <c r="A158" s="44"/>
      <c r="B158" s="44"/>
      <c r="C158" s="44"/>
      <c r="D158" s="118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120"/>
      <c r="U158" s="44"/>
      <c r="V158" s="44"/>
      <c r="W158" s="44"/>
      <c r="X158" s="121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</row>
    <row r="159">
      <c r="A159" s="44"/>
      <c r="B159" s="44"/>
      <c r="C159" s="44"/>
      <c r="D159" s="118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120"/>
      <c r="U159" s="44"/>
      <c r="V159" s="44"/>
      <c r="W159" s="44"/>
      <c r="X159" s="121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</row>
    <row r="160">
      <c r="A160" s="44"/>
      <c r="B160" s="44"/>
      <c r="C160" s="44"/>
      <c r="D160" s="118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120"/>
      <c r="U160" s="44"/>
      <c r="V160" s="44"/>
      <c r="W160" s="44"/>
      <c r="X160" s="121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</row>
    <row r="161">
      <c r="A161" s="44"/>
      <c r="B161" s="44"/>
      <c r="C161" s="44"/>
      <c r="D161" s="118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120"/>
      <c r="U161" s="44"/>
      <c r="V161" s="44"/>
      <c r="W161" s="44"/>
      <c r="X161" s="121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</row>
    <row r="162">
      <c r="A162" s="44"/>
      <c r="B162" s="44"/>
      <c r="C162" s="44"/>
      <c r="D162" s="118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120"/>
      <c r="U162" s="44"/>
      <c r="V162" s="44"/>
      <c r="W162" s="44"/>
      <c r="X162" s="121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</row>
    <row r="163">
      <c r="A163" s="44"/>
      <c r="B163" s="44"/>
      <c r="C163" s="44"/>
      <c r="D163" s="118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120"/>
      <c r="U163" s="44"/>
      <c r="V163" s="44"/>
      <c r="W163" s="44"/>
      <c r="X163" s="121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</row>
    <row r="164">
      <c r="A164" s="44"/>
      <c r="B164" s="44"/>
      <c r="C164" s="44"/>
      <c r="D164" s="118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120"/>
      <c r="U164" s="44"/>
      <c r="V164" s="44"/>
      <c r="W164" s="44"/>
      <c r="X164" s="121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</row>
    <row r="165">
      <c r="A165" s="44"/>
      <c r="B165" s="44"/>
      <c r="C165" s="44"/>
      <c r="D165" s="118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120"/>
      <c r="U165" s="44"/>
      <c r="V165" s="44"/>
      <c r="W165" s="44"/>
      <c r="X165" s="121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</row>
    <row r="166">
      <c r="A166" s="44"/>
      <c r="B166" s="44"/>
      <c r="C166" s="44"/>
      <c r="D166" s="118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120"/>
      <c r="U166" s="44"/>
      <c r="V166" s="44"/>
      <c r="W166" s="44"/>
      <c r="X166" s="121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</row>
    <row r="167">
      <c r="A167" s="44"/>
      <c r="B167" s="44"/>
      <c r="C167" s="44"/>
      <c r="D167" s="118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120"/>
      <c r="U167" s="44"/>
      <c r="V167" s="44"/>
      <c r="W167" s="44"/>
      <c r="X167" s="121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</row>
    <row r="168">
      <c r="A168" s="44"/>
      <c r="B168" s="44"/>
      <c r="C168" s="44"/>
      <c r="D168" s="118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120"/>
      <c r="U168" s="44"/>
      <c r="V168" s="44"/>
      <c r="W168" s="44"/>
      <c r="X168" s="121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</row>
    <row r="169">
      <c r="A169" s="44"/>
      <c r="B169" s="44"/>
      <c r="C169" s="44"/>
      <c r="D169" s="118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120"/>
      <c r="U169" s="44"/>
      <c r="V169" s="44"/>
      <c r="W169" s="44"/>
      <c r="X169" s="121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</row>
    <row r="170">
      <c r="A170" s="44"/>
      <c r="B170" s="44"/>
      <c r="C170" s="44"/>
      <c r="D170" s="118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120"/>
      <c r="U170" s="44"/>
      <c r="V170" s="44"/>
      <c r="W170" s="44"/>
      <c r="X170" s="121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</row>
    <row r="171">
      <c r="A171" s="44"/>
      <c r="B171" s="44"/>
      <c r="C171" s="44"/>
      <c r="D171" s="118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120"/>
      <c r="U171" s="44"/>
      <c r="V171" s="44"/>
      <c r="W171" s="44"/>
      <c r="X171" s="121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</row>
    <row r="172">
      <c r="A172" s="44"/>
      <c r="B172" s="44"/>
      <c r="C172" s="44"/>
      <c r="D172" s="118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120"/>
      <c r="U172" s="44"/>
      <c r="V172" s="44"/>
      <c r="W172" s="44"/>
      <c r="X172" s="121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</row>
    <row r="173">
      <c r="A173" s="44"/>
      <c r="B173" s="44"/>
      <c r="C173" s="44"/>
      <c r="D173" s="118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120"/>
      <c r="U173" s="44"/>
      <c r="V173" s="44"/>
      <c r="W173" s="44"/>
      <c r="X173" s="121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</row>
    <row r="174">
      <c r="A174" s="44"/>
      <c r="B174" s="44"/>
      <c r="C174" s="44"/>
      <c r="D174" s="118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120"/>
      <c r="U174" s="44"/>
      <c r="V174" s="44"/>
      <c r="W174" s="44"/>
      <c r="X174" s="121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</row>
    <row r="175">
      <c r="A175" s="44"/>
      <c r="B175" s="44"/>
      <c r="C175" s="44"/>
      <c r="D175" s="118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120"/>
      <c r="U175" s="44"/>
      <c r="V175" s="44"/>
      <c r="W175" s="44"/>
      <c r="X175" s="121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</row>
    <row r="176">
      <c r="A176" s="44"/>
      <c r="B176" s="44"/>
      <c r="C176" s="44"/>
      <c r="D176" s="118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120"/>
      <c r="U176" s="44"/>
      <c r="V176" s="44"/>
      <c r="W176" s="44"/>
      <c r="X176" s="121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</row>
    <row r="177">
      <c r="A177" s="44"/>
      <c r="B177" s="44"/>
      <c r="C177" s="44"/>
      <c r="D177" s="118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120"/>
      <c r="U177" s="44"/>
      <c r="V177" s="44"/>
      <c r="W177" s="44"/>
      <c r="X177" s="121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</row>
    <row r="178">
      <c r="A178" s="44"/>
      <c r="B178" s="44"/>
      <c r="C178" s="44"/>
      <c r="D178" s="118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120"/>
      <c r="U178" s="44"/>
      <c r="V178" s="44"/>
      <c r="W178" s="44"/>
      <c r="X178" s="121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</row>
    <row r="179">
      <c r="A179" s="44"/>
      <c r="B179" s="44"/>
      <c r="C179" s="44"/>
      <c r="D179" s="118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120"/>
      <c r="U179" s="44"/>
      <c r="V179" s="44"/>
      <c r="W179" s="44"/>
      <c r="X179" s="121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</row>
    <row r="180">
      <c r="A180" s="44"/>
      <c r="B180" s="44"/>
      <c r="C180" s="44"/>
      <c r="D180" s="118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120"/>
      <c r="U180" s="44"/>
      <c r="V180" s="44"/>
      <c r="W180" s="44"/>
      <c r="X180" s="121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</row>
    <row r="181">
      <c r="A181" s="44"/>
      <c r="B181" s="44"/>
      <c r="C181" s="44"/>
      <c r="D181" s="118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120"/>
      <c r="U181" s="44"/>
      <c r="V181" s="44"/>
      <c r="W181" s="44"/>
      <c r="X181" s="121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</row>
    <row r="182">
      <c r="A182" s="44"/>
      <c r="B182" s="44"/>
      <c r="C182" s="44"/>
      <c r="D182" s="118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120"/>
      <c r="U182" s="44"/>
      <c r="V182" s="44"/>
      <c r="W182" s="44"/>
      <c r="X182" s="121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</row>
    <row r="183">
      <c r="A183" s="44"/>
      <c r="B183" s="44"/>
      <c r="C183" s="44"/>
      <c r="D183" s="118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120"/>
      <c r="U183" s="44"/>
      <c r="V183" s="44"/>
      <c r="W183" s="44"/>
      <c r="X183" s="121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</row>
    <row r="184">
      <c r="A184" s="44"/>
      <c r="B184" s="44"/>
      <c r="C184" s="44"/>
      <c r="D184" s="118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120"/>
      <c r="U184" s="44"/>
      <c r="V184" s="44"/>
      <c r="W184" s="44"/>
      <c r="X184" s="121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</row>
    <row r="185">
      <c r="A185" s="44"/>
      <c r="B185" s="44"/>
      <c r="C185" s="44"/>
      <c r="D185" s="118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120"/>
      <c r="U185" s="44"/>
      <c r="V185" s="44"/>
      <c r="W185" s="44"/>
      <c r="X185" s="121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</row>
    <row r="186">
      <c r="A186" s="44"/>
      <c r="B186" s="44"/>
      <c r="C186" s="44"/>
      <c r="D186" s="118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120"/>
      <c r="U186" s="44"/>
      <c r="V186" s="44"/>
      <c r="W186" s="44"/>
      <c r="X186" s="121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</row>
    <row r="187">
      <c r="A187" s="44"/>
      <c r="B187" s="44"/>
      <c r="C187" s="44"/>
      <c r="D187" s="118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120"/>
      <c r="U187" s="44"/>
      <c r="V187" s="44"/>
      <c r="W187" s="44"/>
      <c r="X187" s="121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</row>
    <row r="188">
      <c r="A188" s="44"/>
      <c r="B188" s="44"/>
      <c r="C188" s="44"/>
      <c r="D188" s="118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120"/>
      <c r="U188" s="44"/>
      <c r="V188" s="44"/>
      <c r="W188" s="44"/>
      <c r="X188" s="121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</row>
    <row r="189">
      <c r="A189" s="44"/>
      <c r="B189" s="44"/>
      <c r="C189" s="44"/>
      <c r="D189" s="118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120"/>
      <c r="U189" s="44"/>
      <c r="V189" s="44"/>
      <c r="W189" s="44"/>
      <c r="X189" s="121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</row>
    <row r="190">
      <c r="A190" s="44"/>
      <c r="B190" s="44"/>
      <c r="C190" s="44"/>
      <c r="D190" s="118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120"/>
      <c r="U190" s="44"/>
      <c r="V190" s="44"/>
      <c r="W190" s="44"/>
      <c r="X190" s="121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</row>
    <row r="191">
      <c r="A191" s="44"/>
      <c r="B191" s="44"/>
      <c r="C191" s="44"/>
      <c r="D191" s="118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120"/>
      <c r="U191" s="44"/>
      <c r="V191" s="44"/>
      <c r="W191" s="44"/>
      <c r="X191" s="121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</row>
    <row r="192">
      <c r="A192" s="44"/>
      <c r="B192" s="44"/>
      <c r="C192" s="44"/>
      <c r="D192" s="118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120"/>
      <c r="U192" s="44"/>
      <c r="V192" s="44"/>
      <c r="W192" s="44"/>
      <c r="X192" s="121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</row>
    <row r="193">
      <c r="A193" s="44"/>
      <c r="B193" s="44"/>
      <c r="C193" s="44"/>
      <c r="D193" s="118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120"/>
      <c r="U193" s="44"/>
      <c r="V193" s="44"/>
      <c r="W193" s="44"/>
      <c r="X193" s="121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</row>
    <row r="194">
      <c r="A194" s="44"/>
      <c r="B194" s="44"/>
      <c r="C194" s="44"/>
      <c r="D194" s="118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120"/>
      <c r="U194" s="44"/>
      <c r="V194" s="44"/>
      <c r="W194" s="44"/>
      <c r="X194" s="121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</row>
    <row r="195">
      <c r="A195" s="44"/>
      <c r="B195" s="44"/>
      <c r="C195" s="44"/>
      <c r="D195" s="118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120"/>
      <c r="U195" s="44"/>
      <c r="V195" s="44"/>
      <c r="W195" s="44"/>
      <c r="X195" s="121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</row>
    <row r="196">
      <c r="A196" s="44"/>
      <c r="B196" s="44"/>
      <c r="C196" s="44"/>
      <c r="D196" s="118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120"/>
      <c r="U196" s="44"/>
      <c r="V196" s="44"/>
      <c r="W196" s="44"/>
      <c r="X196" s="121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</row>
    <row r="197">
      <c r="A197" s="44"/>
      <c r="B197" s="44"/>
      <c r="C197" s="44"/>
      <c r="D197" s="118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120"/>
      <c r="U197" s="44"/>
      <c r="V197" s="44"/>
      <c r="W197" s="44"/>
      <c r="X197" s="121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</row>
    <row r="198">
      <c r="A198" s="44"/>
      <c r="B198" s="44"/>
      <c r="C198" s="44"/>
      <c r="D198" s="118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120"/>
      <c r="U198" s="44"/>
      <c r="V198" s="44"/>
      <c r="W198" s="44"/>
      <c r="X198" s="121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</row>
    <row r="199">
      <c r="A199" s="44"/>
      <c r="B199" s="44"/>
      <c r="C199" s="44"/>
      <c r="D199" s="118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120"/>
      <c r="U199" s="44"/>
      <c r="V199" s="44"/>
      <c r="W199" s="44"/>
      <c r="X199" s="121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</row>
    <row r="200">
      <c r="A200" s="44"/>
      <c r="B200" s="44"/>
      <c r="C200" s="44"/>
      <c r="D200" s="118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120"/>
      <c r="U200" s="44"/>
      <c r="V200" s="44"/>
      <c r="W200" s="44"/>
      <c r="X200" s="121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</row>
    <row r="201">
      <c r="A201" s="44"/>
      <c r="B201" s="44"/>
      <c r="C201" s="44"/>
      <c r="D201" s="118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120"/>
      <c r="U201" s="44"/>
      <c r="V201" s="44"/>
      <c r="W201" s="44"/>
      <c r="X201" s="121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</row>
    <row r="202">
      <c r="A202" s="44"/>
      <c r="B202" s="44"/>
      <c r="C202" s="44"/>
      <c r="D202" s="118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120"/>
      <c r="U202" s="44"/>
      <c r="V202" s="44"/>
      <c r="W202" s="44"/>
      <c r="X202" s="121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</row>
    <row r="203">
      <c r="A203" s="44"/>
      <c r="B203" s="44"/>
      <c r="C203" s="44"/>
      <c r="D203" s="118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120"/>
      <c r="U203" s="44"/>
      <c r="V203" s="44"/>
      <c r="W203" s="44"/>
      <c r="X203" s="121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</row>
    <row r="204">
      <c r="A204" s="44"/>
      <c r="B204" s="44"/>
      <c r="C204" s="44"/>
      <c r="D204" s="118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120"/>
      <c r="U204" s="44"/>
      <c r="V204" s="44"/>
      <c r="W204" s="44"/>
      <c r="X204" s="121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</row>
    <row r="205">
      <c r="A205" s="44"/>
      <c r="B205" s="44"/>
      <c r="C205" s="44"/>
      <c r="D205" s="118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120"/>
      <c r="U205" s="44"/>
      <c r="V205" s="44"/>
      <c r="W205" s="44"/>
      <c r="X205" s="121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</row>
    <row r="206">
      <c r="A206" s="44"/>
      <c r="B206" s="44"/>
      <c r="C206" s="44"/>
      <c r="D206" s="118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120"/>
      <c r="U206" s="44"/>
      <c r="V206" s="44"/>
      <c r="W206" s="44"/>
      <c r="X206" s="121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</row>
    <row r="207">
      <c r="A207" s="44"/>
      <c r="B207" s="44"/>
      <c r="C207" s="44"/>
      <c r="D207" s="118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120"/>
      <c r="U207" s="44"/>
      <c r="V207" s="44"/>
      <c r="W207" s="44"/>
      <c r="X207" s="121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</row>
    <row r="208">
      <c r="A208" s="44"/>
      <c r="B208" s="44"/>
      <c r="C208" s="44"/>
      <c r="D208" s="118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120"/>
      <c r="U208" s="44"/>
      <c r="V208" s="44"/>
      <c r="W208" s="44"/>
      <c r="X208" s="121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</row>
    <row r="209">
      <c r="A209" s="44"/>
      <c r="B209" s="44"/>
      <c r="C209" s="44"/>
      <c r="D209" s="118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120"/>
      <c r="U209" s="44"/>
      <c r="V209" s="44"/>
      <c r="W209" s="44"/>
      <c r="X209" s="121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</row>
    <row r="210">
      <c r="A210" s="44"/>
      <c r="B210" s="44"/>
      <c r="C210" s="44"/>
      <c r="D210" s="118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120"/>
      <c r="U210" s="44"/>
      <c r="V210" s="44"/>
      <c r="W210" s="44"/>
      <c r="X210" s="121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</row>
    <row r="211">
      <c r="A211" s="44"/>
      <c r="B211" s="44"/>
      <c r="C211" s="44"/>
      <c r="D211" s="118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120"/>
      <c r="U211" s="44"/>
      <c r="V211" s="44"/>
      <c r="W211" s="44"/>
      <c r="X211" s="121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</row>
    <row r="212">
      <c r="A212" s="44"/>
      <c r="B212" s="44"/>
      <c r="C212" s="44"/>
      <c r="D212" s="118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120"/>
      <c r="U212" s="44"/>
      <c r="V212" s="44"/>
      <c r="W212" s="44"/>
      <c r="X212" s="121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</row>
    <row r="213">
      <c r="A213" s="44"/>
      <c r="B213" s="44"/>
      <c r="C213" s="44"/>
      <c r="D213" s="118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120"/>
      <c r="U213" s="44"/>
      <c r="V213" s="44"/>
      <c r="W213" s="44"/>
      <c r="X213" s="121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</row>
    <row r="214">
      <c r="A214" s="44"/>
      <c r="B214" s="44"/>
      <c r="C214" s="44"/>
      <c r="D214" s="118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120"/>
      <c r="U214" s="44"/>
      <c r="V214" s="44"/>
      <c r="W214" s="44"/>
      <c r="X214" s="121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</row>
    <row r="215">
      <c r="A215" s="44"/>
      <c r="B215" s="44"/>
      <c r="C215" s="44"/>
      <c r="D215" s="118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120"/>
      <c r="U215" s="44"/>
      <c r="V215" s="44"/>
      <c r="W215" s="44"/>
      <c r="X215" s="121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</row>
    <row r="216">
      <c r="A216" s="44"/>
      <c r="B216" s="44"/>
      <c r="C216" s="44"/>
      <c r="D216" s="118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120"/>
      <c r="U216" s="44"/>
      <c r="V216" s="44"/>
      <c r="W216" s="44"/>
      <c r="X216" s="121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</row>
    <row r="217">
      <c r="A217" s="44"/>
      <c r="B217" s="44"/>
      <c r="C217" s="44"/>
      <c r="D217" s="118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120"/>
      <c r="U217" s="44"/>
      <c r="V217" s="44"/>
      <c r="W217" s="44"/>
      <c r="X217" s="121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</row>
    <row r="218">
      <c r="A218" s="44"/>
      <c r="B218" s="44"/>
      <c r="C218" s="44"/>
      <c r="D218" s="118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120"/>
      <c r="U218" s="44"/>
      <c r="V218" s="44"/>
      <c r="W218" s="44"/>
      <c r="X218" s="121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</row>
    <row r="219">
      <c r="A219" s="44"/>
      <c r="B219" s="44"/>
      <c r="C219" s="44"/>
      <c r="D219" s="118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120"/>
      <c r="U219" s="44"/>
      <c r="V219" s="44"/>
      <c r="W219" s="44"/>
      <c r="X219" s="121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</row>
    <row r="220">
      <c r="A220" s="44"/>
      <c r="B220" s="44"/>
      <c r="C220" s="44"/>
      <c r="D220" s="118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120"/>
      <c r="U220" s="44"/>
      <c r="V220" s="44"/>
      <c r="W220" s="44"/>
      <c r="X220" s="121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</row>
    <row r="221">
      <c r="A221" s="44"/>
      <c r="B221" s="44"/>
      <c r="C221" s="44"/>
      <c r="D221" s="118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120"/>
      <c r="U221" s="44"/>
      <c r="V221" s="44"/>
      <c r="W221" s="44"/>
      <c r="X221" s="121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</row>
    <row r="222">
      <c r="A222" s="44"/>
      <c r="B222" s="44"/>
      <c r="C222" s="44"/>
      <c r="D222" s="118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120"/>
      <c r="U222" s="44"/>
      <c r="V222" s="44"/>
      <c r="W222" s="44"/>
      <c r="X222" s="121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</row>
    <row r="223">
      <c r="A223" s="44"/>
      <c r="B223" s="44"/>
      <c r="C223" s="44"/>
      <c r="D223" s="118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120"/>
      <c r="U223" s="44"/>
      <c r="V223" s="44"/>
      <c r="W223" s="44"/>
      <c r="X223" s="121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</row>
    <row r="224">
      <c r="A224" s="44"/>
      <c r="B224" s="44"/>
      <c r="C224" s="44"/>
      <c r="D224" s="118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120"/>
      <c r="U224" s="44"/>
      <c r="V224" s="44"/>
      <c r="W224" s="44"/>
      <c r="X224" s="121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</row>
    <row r="225">
      <c r="A225" s="44"/>
      <c r="B225" s="44"/>
      <c r="C225" s="44"/>
      <c r="D225" s="118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120"/>
      <c r="U225" s="44"/>
      <c r="V225" s="44"/>
      <c r="W225" s="44"/>
      <c r="X225" s="121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</row>
    <row r="226">
      <c r="A226" s="44"/>
      <c r="B226" s="44"/>
      <c r="C226" s="44"/>
      <c r="D226" s="118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120"/>
      <c r="U226" s="44"/>
      <c r="V226" s="44"/>
      <c r="W226" s="44"/>
      <c r="X226" s="121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</row>
    <row r="227">
      <c r="A227" s="44"/>
      <c r="B227" s="44"/>
      <c r="C227" s="44"/>
      <c r="D227" s="118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120"/>
      <c r="U227" s="44"/>
      <c r="V227" s="44"/>
      <c r="W227" s="44"/>
      <c r="X227" s="121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</row>
    <row r="228">
      <c r="A228" s="44"/>
      <c r="B228" s="44"/>
      <c r="C228" s="44"/>
      <c r="D228" s="118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120"/>
      <c r="U228" s="44"/>
      <c r="V228" s="44"/>
      <c r="W228" s="44"/>
      <c r="X228" s="121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</row>
    <row r="229">
      <c r="A229" s="44"/>
      <c r="B229" s="44"/>
      <c r="C229" s="44"/>
      <c r="D229" s="118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120"/>
      <c r="U229" s="44"/>
      <c r="V229" s="44"/>
      <c r="W229" s="44"/>
      <c r="X229" s="121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</row>
    <row r="230">
      <c r="A230" s="44"/>
      <c r="B230" s="44"/>
      <c r="C230" s="44"/>
      <c r="D230" s="118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120"/>
      <c r="U230" s="44"/>
      <c r="V230" s="44"/>
      <c r="W230" s="44"/>
      <c r="X230" s="121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</row>
    <row r="231">
      <c r="A231" s="44"/>
      <c r="B231" s="44"/>
      <c r="C231" s="44"/>
      <c r="D231" s="118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120"/>
      <c r="U231" s="44"/>
      <c r="V231" s="44"/>
      <c r="W231" s="44"/>
      <c r="X231" s="121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</row>
    <row r="232">
      <c r="A232" s="44"/>
      <c r="B232" s="44"/>
      <c r="C232" s="44"/>
      <c r="D232" s="118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120"/>
      <c r="U232" s="44"/>
      <c r="V232" s="44"/>
      <c r="W232" s="44"/>
      <c r="X232" s="121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</row>
    <row r="233">
      <c r="A233" s="44"/>
      <c r="B233" s="44"/>
      <c r="C233" s="44"/>
      <c r="D233" s="118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120"/>
      <c r="U233" s="44"/>
      <c r="V233" s="44"/>
      <c r="W233" s="44"/>
      <c r="X233" s="121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</row>
    <row r="234">
      <c r="A234" s="44"/>
      <c r="B234" s="44"/>
      <c r="C234" s="44"/>
      <c r="D234" s="118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120"/>
      <c r="U234" s="44"/>
      <c r="V234" s="44"/>
      <c r="W234" s="44"/>
      <c r="X234" s="121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</row>
    <row r="235">
      <c r="A235" s="44"/>
      <c r="B235" s="44"/>
      <c r="C235" s="44"/>
      <c r="D235" s="118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120"/>
      <c r="U235" s="44"/>
      <c r="V235" s="44"/>
      <c r="W235" s="44"/>
      <c r="X235" s="121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</row>
    <row r="236">
      <c r="A236" s="44"/>
      <c r="B236" s="44"/>
      <c r="C236" s="44"/>
      <c r="D236" s="118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120"/>
      <c r="U236" s="44"/>
      <c r="V236" s="44"/>
      <c r="W236" s="44"/>
      <c r="X236" s="121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</row>
    <row r="237">
      <c r="A237" s="44"/>
      <c r="B237" s="44"/>
      <c r="C237" s="44"/>
      <c r="D237" s="118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120"/>
      <c r="U237" s="44"/>
      <c r="V237" s="44"/>
      <c r="W237" s="44"/>
      <c r="X237" s="121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</row>
    <row r="238">
      <c r="A238" s="44"/>
      <c r="B238" s="44"/>
      <c r="C238" s="44"/>
      <c r="D238" s="118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120"/>
      <c r="U238" s="44"/>
      <c r="V238" s="44"/>
      <c r="W238" s="44"/>
      <c r="X238" s="121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</row>
    <row r="239">
      <c r="A239" s="44"/>
      <c r="B239" s="44"/>
      <c r="C239" s="44"/>
      <c r="D239" s="118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120"/>
      <c r="U239" s="44"/>
      <c r="V239" s="44"/>
      <c r="W239" s="44"/>
      <c r="X239" s="121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</row>
    <row r="240">
      <c r="A240" s="44"/>
      <c r="B240" s="44"/>
      <c r="C240" s="44"/>
      <c r="D240" s="118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120"/>
      <c r="U240" s="44"/>
      <c r="V240" s="44"/>
      <c r="W240" s="44"/>
      <c r="X240" s="121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</row>
    <row r="241">
      <c r="A241" s="44"/>
      <c r="B241" s="44"/>
      <c r="C241" s="44"/>
      <c r="D241" s="118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120"/>
      <c r="U241" s="44"/>
      <c r="V241" s="44"/>
      <c r="W241" s="44"/>
      <c r="X241" s="121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</row>
    <row r="242">
      <c r="A242" s="44"/>
      <c r="B242" s="44"/>
      <c r="C242" s="44"/>
      <c r="D242" s="118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120"/>
      <c r="U242" s="44"/>
      <c r="V242" s="44"/>
      <c r="W242" s="44"/>
      <c r="X242" s="121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</row>
    <row r="243">
      <c r="A243" s="44"/>
      <c r="B243" s="44"/>
      <c r="C243" s="44"/>
      <c r="D243" s="118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120"/>
      <c r="U243" s="44"/>
      <c r="V243" s="44"/>
      <c r="W243" s="44"/>
      <c r="X243" s="121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</row>
    <row r="244">
      <c r="A244" s="44"/>
      <c r="B244" s="44"/>
      <c r="C244" s="44"/>
      <c r="D244" s="118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120"/>
      <c r="U244" s="44"/>
      <c r="V244" s="44"/>
      <c r="W244" s="44"/>
      <c r="X244" s="121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</row>
    <row r="245">
      <c r="A245" s="44"/>
      <c r="B245" s="44"/>
      <c r="C245" s="44"/>
      <c r="D245" s="118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120"/>
      <c r="U245" s="44"/>
      <c r="V245" s="44"/>
      <c r="W245" s="44"/>
      <c r="X245" s="121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</row>
    <row r="246">
      <c r="A246" s="44"/>
      <c r="B246" s="44"/>
      <c r="C246" s="44"/>
      <c r="D246" s="118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120"/>
      <c r="U246" s="44"/>
      <c r="V246" s="44"/>
      <c r="W246" s="44"/>
      <c r="X246" s="121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</row>
    <row r="247">
      <c r="A247" s="44"/>
      <c r="B247" s="44"/>
      <c r="C247" s="44"/>
      <c r="D247" s="118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120"/>
      <c r="U247" s="44"/>
      <c r="V247" s="44"/>
      <c r="W247" s="44"/>
      <c r="X247" s="121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</row>
    <row r="248">
      <c r="A248" s="44"/>
      <c r="B248" s="44"/>
      <c r="C248" s="44"/>
      <c r="D248" s="118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120"/>
      <c r="U248" s="44"/>
      <c r="V248" s="44"/>
      <c r="W248" s="44"/>
      <c r="X248" s="121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</row>
    <row r="249">
      <c r="A249" s="44"/>
      <c r="B249" s="44"/>
      <c r="C249" s="44"/>
      <c r="D249" s="118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120"/>
      <c r="U249" s="44"/>
      <c r="V249" s="44"/>
      <c r="W249" s="44"/>
      <c r="X249" s="121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</row>
    <row r="250">
      <c r="A250" s="44"/>
      <c r="B250" s="44"/>
      <c r="C250" s="44"/>
      <c r="D250" s="118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120"/>
      <c r="U250" s="44"/>
      <c r="V250" s="44"/>
      <c r="W250" s="44"/>
      <c r="X250" s="121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</row>
    <row r="251">
      <c r="A251" s="44"/>
      <c r="B251" s="44"/>
      <c r="C251" s="44"/>
      <c r="D251" s="118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120"/>
      <c r="U251" s="44"/>
      <c r="V251" s="44"/>
      <c r="W251" s="44"/>
      <c r="X251" s="121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</row>
    <row r="252">
      <c r="A252" s="44"/>
      <c r="B252" s="44"/>
      <c r="C252" s="44"/>
      <c r="D252" s="118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120"/>
      <c r="U252" s="44"/>
      <c r="V252" s="44"/>
      <c r="W252" s="44"/>
      <c r="X252" s="121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</row>
    <row r="253">
      <c r="A253" s="44"/>
      <c r="B253" s="44"/>
      <c r="C253" s="44"/>
      <c r="D253" s="118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120"/>
      <c r="U253" s="44"/>
      <c r="V253" s="44"/>
      <c r="W253" s="44"/>
      <c r="X253" s="121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</row>
    <row r="254">
      <c r="A254" s="44"/>
      <c r="B254" s="44"/>
      <c r="C254" s="44"/>
      <c r="D254" s="118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120"/>
      <c r="U254" s="44"/>
      <c r="V254" s="44"/>
      <c r="W254" s="44"/>
      <c r="X254" s="121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</row>
    <row r="255">
      <c r="A255" s="44"/>
      <c r="B255" s="44"/>
      <c r="C255" s="44"/>
      <c r="D255" s="118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120"/>
      <c r="U255" s="44"/>
      <c r="V255" s="44"/>
      <c r="W255" s="44"/>
      <c r="X255" s="121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</row>
    <row r="256">
      <c r="A256" s="44"/>
      <c r="B256" s="44"/>
      <c r="C256" s="44"/>
      <c r="D256" s="118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120"/>
      <c r="U256" s="44"/>
      <c r="V256" s="44"/>
      <c r="W256" s="44"/>
      <c r="X256" s="121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</row>
    <row r="257">
      <c r="A257" s="44"/>
      <c r="B257" s="44"/>
      <c r="C257" s="44"/>
      <c r="D257" s="118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120"/>
      <c r="U257" s="44"/>
      <c r="V257" s="44"/>
      <c r="W257" s="44"/>
      <c r="X257" s="121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</row>
    <row r="258">
      <c r="A258" s="44"/>
      <c r="B258" s="44"/>
      <c r="C258" s="44"/>
      <c r="D258" s="118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120"/>
      <c r="U258" s="44"/>
      <c r="V258" s="44"/>
      <c r="W258" s="44"/>
      <c r="X258" s="121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</row>
    <row r="259">
      <c r="A259" s="44"/>
      <c r="B259" s="44"/>
      <c r="C259" s="44"/>
      <c r="D259" s="118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120"/>
      <c r="U259" s="44"/>
      <c r="V259" s="44"/>
      <c r="W259" s="44"/>
      <c r="X259" s="121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</row>
    <row r="260">
      <c r="A260" s="44"/>
      <c r="B260" s="44"/>
      <c r="C260" s="44"/>
      <c r="D260" s="118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120"/>
      <c r="U260" s="44"/>
      <c r="V260" s="44"/>
      <c r="W260" s="44"/>
      <c r="X260" s="121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</row>
    <row r="261">
      <c r="A261" s="44"/>
      <c r="B261" s="44"/>
      <c r="C261" s="44"/>
      <c r="D261" s="118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120"/>
      <c r="U261" s="44"/>
      <c r="V261" s="44"/>
      <c r="W261" s="44"/>
      <c r="X261" s="121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</row>
    <row r="262">
      <c r="A262" s="44"/>
      <c r="B262" s="44"/>
      <c r="C262" s="44"/>
      <c r="D262" s="118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120"/>
      <c r="U262" s="44"/>
      <c r="V262" s="44"/>
      <c r="W262" s="44"/>
      <c r="X262" s="121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</row>
    <row r="263">
      <c r="A263" s="44"/>
      <c r="B263" s="44"/>
      <c r="C263" s="44"/>
      <c r="D263" s="118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120"/>
      <c r="U263" s="44"/>
      <c r="V263" s="44"/>
      <c r="W263" s="44"/>
      <c r="X263" s="121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</row>
    <row r="264">
      <c r="A264" s="44"/>
      <c r="B264" s="44"/>
      <c r="C264" s="44"/>
      <c r="D264" s="118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120"/>
      <c r="U264" s="44"/>
      <c r="V264" s="44"/>
      <c r="W264" s="44"/>
      <c r="X264" s="121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</row>
    <row r="265">
      <c r="A265" s="44"/>
      <c r="B265" s="44"/>
      <c r="C265" s="44"/>
      <c r="D265" s="118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120"/>
      <c r="U265" s="44"/>
      <c r="V265" s="44"/>
      <c r="W265" s="44"/>
      <c r="X265" s="121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</row>
    <row r="266">
      <c r="A266" s="44"/>
      <c r="B266" s="44"/>
      <c r="C266" s="44"/>
      <c r="D266" s="118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120"/>
      <c r="U266" s="44"/>
      <c r="V266" s="44"/>
      <c r="W266" s="44"/>
      <c r="X266" s="121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</row>
    <row r="267">
      <c r="A267" s="44"/>
      <c r="B267" s="44"/>
      <c r="C267" s="44"/>
      <c r="D267" s="118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120"/>
      <c r="U267" s="44"/>
      <c r="V267" s="44"/>
      <c r="W267" s="44"/>
      <c r="X267" s="121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</row>
    <row r="268">
      <c r="A268" s="44"/>
      <c r="B268" s="44"/>
      <c r="C268" s="44"/>
      <c r="D268" s="118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120"/>
      <c r="U268" s="44"/>
      <c r="V268" s="44"/>
      <c r="W268" s="44"/>
      <c r="X268" s="121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</row>
    <row r="269">
      <c r="A269" s="44"/>
      <c r="B269" s="44"/>
      <c r="C269" s="44"/>
      <c r="D269" s="118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120"/>
      <c r="U269" s="44"/>
      <c r="V269" s="44"/>
      <c r="W269" s="44"/>
      <c r="X269" s="121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</row>
    <row r="270">
      <c r="A270" s="44"/>
      <c r="B270" s="44"/>
      <c r="C270" s="44"/>
      <c r="D270" s="118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120"/>
      <c r="U270" s="44"/>
      <c r="V270" s="44"/>
      <c r="W270" s="44"/>
      <c r="X270" s="121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</row>
    <row r="271">
      <c r="A271" s="44"/>
      <c r="B271" s="44"/>
      <c r="C271" s="44"/>
      <c r="D271" s="118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120"/>
      <c r="U271" s="44"/>
      <c r="V271" s="44"/>
      <c r="W271" s="44"/>
      <c r="X271" s="121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</row>
    <row r="272">
      <c r="A272" s="44"/>
      <c r="B272" s="44"/>
      <c r="C272" s="44"/>
      <c r="D272" s="118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120"/>
      <c r="U272" s="44"/>
      <c r="V272" s="44"/>
      <c r="W272" s="44"/>
      <c r="X272" s="121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</row>
    <row r="273">
      <c r="A273" s="44"/>
      <c r="B273" s="44"/>
      <c r="C273" s="44"/>
      <c r="D273" s="118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120"/>
      <c r="U273" s="44"/>
      <c r="V273" s="44"/>
      <c r="W273" s="44"/>
      <c r="X273" s="121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</row>
    <row r="274">
      <c r="A274" s="44"/>
      <c r="B274" s="44"/>
      <c r="C274" s="44"/>
      <c r="D274" s="118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120"/>
      <c r="U274" s="44"/>
      <c r="V274" s="44"/>
      <c r="W274" s="44"/>
      <c r="X274" s="121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</row>
    <row r="275">
      <c r="A275" s="44"/>
      <c r="B275" s="44"/>
      <c r="C275" s="44"/>
      <c r="D275" s="118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120"/>
      <c r="U275" s="44"/>
      <c r="V275" s="44"/>
      <c r="W275" s="44"/>
      <c r="X275" s="121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</row>
    <row r="276">
      <c r="A276" s="44"/>
      <c r="B276" s="44"/>
      <c r="C276" s="44"/>
      <c r="D276" s="118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120"/>
      <c r="U276" s="44"/>
      <c r="V276" s="44"/>
      <c r="W276" s="44"/>
      <c r="X276" s="121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</row>
    <row r="277">
      <c r="A277" s="44"/>
      <c r="B277" s="44"/>
      <c r="C277" s="44"/>
      <c r="D277" s="118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120"/>
      <c r="U277" s="44"/>
      <c r="V277" s="44"/>
      <c r="W277" s="44"/>
      <c r="X277" s="121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</row>
    <row r="278">
      <c r="A278" s="44"/>
      <c r="B278" s="44"/>
      <c r="C278" s="44"/>
      <c r="D278" s="118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120"/>
      <c r="U278" s="44"/>
      <c r="V278" s="44"/>
      <c r="W278" s="44"/>
      <c r="X278" s="121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</row>
    <row r="279">
      <c r="A279" s="44"/>
      <c r="B279" s="44"/>
      <c r="C279" s="44"/>
      <c r="D279" s="118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120"/>
      <c r="U279" s="44"/>
      <c r="V279" s="44"/>
      <c r="W279" s="44"/>
      <c r="X279" s="121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</row>
    <row r="280">
      <c r="A280" s="44"/>
      <c r="B280" s="44"/>
      <c r="C280" s="44"/>
      <c r="D280" s="118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120"/>
      <c r="U280" s="44"/>
      <c r="V280" s="44"/>
      <c r="W280" s="44"/>
      <c r="X280" s="121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</row>
    <row r="281">
      <c r="A281" s="44"/>
      <c r="B281" s="44"/>
      <c r="C281" s="44"/>
      <c r="D281" s="118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120"/>
      <c r="U281" s="44"/>
      <c r="V281" s="44"/>
      <c r="W281" s="44"/>
      <c r="X281" s="121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</row>
    <row r="282">
      <c r="A282" s="44"/>
      <c r="B282" s="44"/>
      <c r="C282" s="44"/>
      <c r="D282" s="118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120"/>
      <c r="U282" s="44"/>
      <c r="V282" s="44"/>
      <c r="W282" s="44"/>
      <c r="X282" s="121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</row>
    <row r="283">
      <c r="A283" s="44"/>
      <c r="B283" s="44"/>
      <c r="C283" s="44"/>
      <c r="D283" s="118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120"/>
      <c r="U283" s="44"/>
      <c r="V283" s="44"/>
      <c r="W283" s="44"/>
      <c r="X283" s="121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</row>
    <row r="284">
      <c r="A284" s="44"/>
      <c r="B284" s="44"/>
      <c r="C284" s="44"/>
      <c r="D284" s="118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120"/>
      <c r="U284" s="44"/>
      <c r="V284" s="44"/>
      <c r="W284" s="44"/>
      <c r="X284" s="121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</row>
    <row r="285">
      <c r="A285" s="44"/>
      <c r="B285" s="44"/>
      <c r="C285" s="44"/>
      <c r="D285" s="118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120"/>
      <c r="U285" s="44"/>
      <c r="V285" s="44"/>
      <c r="W285" s="44"/>
      <c r="X285" s="121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</row>
    <row r="286">
      <c r="A286" s="44"/>
      <c r="B286" s="44"/>
      <c r="C286" s="44"/>
      <c r="D286" s="118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120"/>
      <c r="U286" s="44"/>
      <c r="V286" s="44"/>
      <c r="W286" s="44"/>
      <c r="X286" s="121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</row>
    <row r="287">
      <c r="A287" s="44"/>
      <c r="B287" s="44"/>
      <c r="C287" s="44"/>
      <c r="D287" s="118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120"/>
      <c r="U287" s="44"/>
      <c r="V287" s="44"/>
      <c r="W287" s="44"/>
      <c r="X287" s="121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</row>
    <row r="288">
      <c r="A288" s="44"/>
      <c r="B288" s="44"/>
      <c r="C288" s="44"/>
      <c r="D288" s="118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120"/>
      <c r="U288" s="44"/>
      <c r="V288" s="44"/>
      <c r="W288" s="44"/>
      <c r="X288" s="121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</row>
    <row r="289">
      <c r="A289" s="44"/>
      <c r="B289" s="44"/>
      <c r="C289" s="44"/>
      <c r="D289" s="118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120"/>
      <c r="U289" s="44"/>
      <c r="V289" s="44"/>
      <c r="W289" s="44"/>
      <c r="X289" s="121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</row>
    <row r="290">
      <c r="A290" s="44"/>
      <c r="B290" s="44"/>
      <c r="C290" s="44"/>
      <c r="D290" s="118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120"/>
      <c r="U290" s="44"/>
      <c r="V290" s="44"/>
      <c r="W290" s="44"/>
      <c r="X290" s="121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</row>
    <row r="291">
      <c r="A291" s="44"/>
      <c r="B291" s="44"/>
      <c r="C291" s="44"/>
      <c r="D291" s="118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120"/>
      <c r="U291" s="44"/>
      <c r="V291" s="44"/>
      <c r="W291" s="44"/>
      <c r="X291" s="121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</row>
    <row r="292">
      <c r="A292" s="44"/>
      <c r="B292" s="44"/>
      <c r="C292" s="44"/>
      <c r="D292" s="118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120"/>
      <c r="U292" s="44"/>
      <c r="V292" s="44"/>
      <c r="W292" s="44"/>
      <c r="X292" s="121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</row>
    <row r="293">
      <c r="A293" s="44"/>
      <c r="B293" s="44"/>
      <c r="C293" s="44"/>
      <c r="D293" s="118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120"/>
      <c r="U293" s="44"/>
      <c r="V293" s="44"/>
      <c r="W293" s="44"/>
      <c r="X293" s="121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</row>
    <row r="294">
      <c r="A294" s="44"/>
      <c r="B294" s="44"/>
      <c r="C294" s="44"/>
      <c r="D294" s="118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120"/>
      <c r="U294" s="44"/>
      <c r="V294" s="44"/>
      <c r="W294" s="44"/>
      <c r="X294" s="121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</row>
    <row r="295">
      <c r="A295" s="44"/>
      <c r="B295" s="44"/>
      <c r="C295" s="44"/>
      <c r="D295" s="118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120"/>
      <c r="U295" s="44"/>
      <c r="V295" s="44"/>
      <c r="W295" s="44"/>
      <c r="X295" s="121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</row>
    <row r="296">
      <c r="A296" s="44"/>
      <c r="B296" s="44"/>
      <c r="C296" s="44"/>
      <c r="D296" s="118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120"/>
      <c r="U296" s="44"/>
      <c r="V296" s="44"/>
      <c r="W296" s="44"/>
      <c r="X296" s="121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</row>
    <row r="297">
      <c r="A297" s="44"/>
      <c r="B297" s="44"/>
      <c r="C297" s="44"/>
      <c r="D297" s="118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120"/>
      <c r="U297" s="44"/>
      <c r="V297" s="44"/>
      <c r="W297" s="44"/>
      <c r="X297" s="121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</row>
    <row r="298">
      <c r="A298" s="44"/>
      <c r="B298" s="44"/>
      <c r="C298" s="44"/>
      <c r="D298" s="118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120"/>
      <c r="U298" s="44"/>
      <c r="V298" s="44"/>
      <c r="W298" s="44"/>
      <c r="X298" s="121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</row>
    <row r="299">
      <c r="A299" s="44"/>
      <c r="B299" s="44"/>
      <c r="C299" s="44"/>
      <c r="D299" s="118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120"/>
      <c r="U299" s="44"/>
      <c r="V299" s="44"/>
      <c r="W299" s="44"/>
      <c r="X299" s="121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</row>
    <row r="300">
      <c r="A300" s="44"/>
      <c r="B300" s="44"/>
      <c r="C300" s="44"/>
      <c r="D300" s="118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120"/>
      <c r="U300" s="44"/>
      <c r="V300" s="44"/>
      <c r="W300" s="44"/>
      <c r="X300" s="121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</row>
    <row r="301">
      <c r="A301" s="44"/>
      <c r="B301" s="44"/>
      <c r="C301" s="44"/>
      <c r="D301" s="118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120"/>
      <c r="U301" s="44"/>
      <c r="V301" s="44"/>
      <c r="W301" s="44"/>
      <c r="X301" s="121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</row>
    <row r="302">
      <c r="A302" s="44"/>
      <c r="B302" s="44"/>
      <c r="C302" s="44"/>
      <c r="D302" s="118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120"/>
      <c r="U302" s="44"/>
      <c r="V302" s="44"/>
      <c r="W302" s="44"/>
      <c r="X302" s="121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</row>
    <row r="303">
      <c r="A303" s="44"/>
      <c r="B303" s="44"/>
      <c r="C303" s="44"/>
      <c r="D303" s="118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120"/>
      <c r="U303" s="44"/>
      <c r="V303" s="44"/>
      <c r="W303" s="44"/>
      <c r="X303" s="121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</row>
    <row r="304">
      <c r="A304" s="44"/>
      <c r="B304" s="44"/>
      <c r="C304" s="44"/>
      <c r="D304" s="118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120"/>
      <c r="U304" s="44"/>
      <c r="V304" s="44"/>
      <c r="W304" s="44"/>
      <c r="X304" s="121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</row>
    <row r="305">
      <c r="A305" s="44"/>
      <c r="B305" s="44"/>
      <c r="C305" s="44"/>
      <c r="D305" s="118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120"/>
      <c r="U305" s="44"/>
      <c r="V305" s="44"/>
      <c r="W305" s="44"/>
      <c r="X305" s="121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</row>
    <row r="306">
      <c r="A306" s="44"/>
      <c r="B306" s="44"/>
      <c r="C306" s="44"/>
      <c r="D306" s="118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120"/>
      <c r="U306" s="44"/>
      <c r="V306" s="44"/>
      <c r="W306" s="44"/>
      <c r="X306" s="121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</row>
    <row r="307">
      <c r="A307" s="44"/>
      <c r="B307" s="44"/>
      <c r="C307" s="44"/>
      <c r="D307" s="118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120"/>
      <c r="U307" s="44"/>
      <c r="V307" s="44"/>
      <c r="W307" s="44"/>
      <c r="X307" s="121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</row>
    <row r="308">
      <c r="A308" s="44"/>
      <c r="B308" s="44"/>
      <c r="C308" s="44"/>
      <c r="D308" s="118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120"/>
      <c r="U308" s="44"/>
      <c r="V308" s="44"/>
      <c r="W308" s="44"/>
      <c r="X308" s="121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</row>
    <row r="309">
      <c r="A309" s="44"/>
      <c r="B309" s="44"/>
      <c r="C309" s="44"/>
      <c r="D309" s="118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120"/>
      <c r="U309" s="44"/>
      <c r="V309" s="44"/>
      <c r="W309" s="44"/>
      <c r="X309" s="121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</row>
    <row r="310">
      <c r="A310" s="44"/>
      <c r="B310" s="44"/>
      <c r="C310" s="44"/>
      <c r="D310" s="118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120"/>
      <c r="U310" s="44"/>
      <c r="V310" s="44"/>
      <c r="W310" s="44"/>
      <c r="X310" s="121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</row>
    <row r="311">
      <c r="A311" s="44"/>
      <c r="B311" s="44"/>
      <c r="C311" s="44"/>
      <c r="D311" s="118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120"/>
      <c r="U311" s="44"/>
      <c r="V311" s="44"/>
      <c r="W311" s="44"/>
      <c r="X311" s="121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</row>
    <row r="312">
      <c r="A312" s="44"/>
      <c r="B312" s="44"/>
      <c r="C312" s="44"/>
      <c r="D312" s="118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120"/>
      <c r="U312" s="44"/>
      <c r="V312" s="44"/>
      <c r="W312" s="44"/>
      <c r="X312" s="121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</row>
    <row r="313">
      <c r="A313" s="44"/>
      <c r="B313" s="44"/>
      <c r="C313" s="44"/>
      <c r="D313" s="118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120"/>
      <c r="U313" s="44"/>
      <c r="V313" s="44"/>
      <c r="W313" s="44"/>
      <c r="X313" s="121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</row>
    <row r="314">
      <c r="A314" s="44"/>
      <c r="B314" s="44"/>
      <c r="C314" s="44"/>
      <c r="D314" s="118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120"/>
      <c r="U314" s="44"/>
      <c r="V314" s="44"/>
      <c r="W314" s="44"/>
      <c r="X314" s="121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</row>
    <row r="315">
      <c r="A315" s="44"/>
      <c r="B315" s="44"/>
      <c r="C315" s="44"/>
      <c r="D315" s="118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120"/>
      <c r="U315" s="44"/>
      <c r="V315" s="44"/>
      <c r="W315" s="44"/>
      <c r="X315" s="121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</row>
    <row r="316">
      <c r="A316" s="44"/>
      <c r="B316" s="44"/>
      <c r="C316" s="44"/>
      <c r="D316" s="118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120"/>
      <c r="U316" s="44"/>
      <c r="V316" s="44"/>
      <c r="W316" s="44"/>
      <c r="X316" s="121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</row>
    <row r="317">
      <c r="A317" s="44"/>
      <c r="B317" s="44"/>
      <c r="C317" s="44"/>
      <c r="D317" s="118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120"/>
      <c r="U317" s="44"/>
      <c r="V317" s="44"/>
      <c r="W317" s="44"/>
      <c r="X317" s="121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</row>
    <row r="318">
      <c r="A318" s="44"/>
      <c r="B318" s="44"/>
      <c r="C318" s="44"/>
      <c r="D318" s="118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120"/>
      <c r="U318" s="44"/>
      <c r="V318" s="44"/>
      <c r="W318" s="44"/>
      <c r="X318" s="121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</row>
    <row r="319">
      <c r="A319" s="44"/>
      <c r="B319" s="44"/>
      <c r="C319" s="44"/>
      <c r="D319" s="118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120"/>
      <c r="U319" s="44"/>
      <c r="V319" s="44"/>
      <c r="W319" s="44"/>
      <c r="X319" s="121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</row>
    <row r="320">
      <c r="A320" s="44"/>
      <c r="B320" s="44"/>
      <c r="C320" s="44"/>
      <c r="D320" s="118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120"/>
      <c r="U320" s="44"/>
      <c r="V320" s="44"/>
      <c r="W320" s="44"/>
      <c r="X320" s="121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</row>
    <row r="321">
      <c r="A321" s="44"/>
      <c r="B321" s="44"/>
      <c r="C321" s="44"/>
      <c r="D321" s="118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120"/>
      <c r="U321" s="44"/>
      <c r="V321" s="44"/>
      <c r="W321" s="44"/>
      <c r="X321" s="121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</row>
    <row r="322">
      <c r="A322" s="44"/>
      <c r="B322" s="44"/>
      <c r="C322" s="44"/>
      <c r="D322" s="118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120"/>
      <c r="U322" s="44"/>
      <c r="V322" s="44"/>
      <c r="W322" s="44"/>
      <c r="X322" s="121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</row>
    <row r="323">
      <c r="A323" s="44"/>
      <c r="B323" s="44"/>
      <c r="C323" s="44"/>
      <c r="D323" s="118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120"/>
      <c r="U323" s="44"/>
      <c r="V323" s="44"/>
      <c r="W323" s="44"/>
      <c r="X323" s="121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</row>
    <row r="324">
      <c r="A324" s="44"/>
      <c r="B324" s="44"/>
      <c r="C324" s="44"/>
      <c r="D324" s="118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120"/>
      <c r="U324" s="44"/>
      <c r="V324" s="44"/>
      <c r="W324" s="44"/>
      <c r="X324" s="121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</row>
    <row r="325">
      <c r="A325" s="44"/>
      <c r="B325" s="44"/>
      <c r="C325" s="44"/>
      <c r="D325" s="118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120"/>
      <c r="U325" s="44"/>
      <c r="V325" s="44"/>
      <c r="W325" s="44"/>
      <c r="X325" s="121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</row>
    <row r="326">
      <c r="A326" s="44"/>
      <c r="B326" s="44"/>
      <c r="C326" s="44"/>
      <c r="D326" s="118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120"/>
      <c r="U326" s="44"/>
      <c r="V326" s="44"/>
      <c r="W326" s="44"/>
      <c r="X326" s="121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</row>
    <row r="327">
      <c r="A327" s="44"/>
      <c r="B327" s="44"/>
      <c r="C327" s="44"/>
      <c r="D327" s="118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120"/>
      <c r="U327" s="44"/>
      <c r="V327" s="44"/>
      <c r="W327" s="44"/>
      <c r="X327" s="121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</row>
    <row r="328">
      <c r="A328" s="44"/>
      <c r="B328" s="44"/>
      <c r="C328" s="44"/>
      <c r="D328" s="118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120"/>
      <c r="U328" s="44"/>
      <c r="V328" s="44"/>
      <c r="W328" s="44"/>
      <c r="X328" s="121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</row>
    <row r="329">
      <c r="A329" s="44"/>
      <c r="B329" s="44"/>
      <c r="C329" s="44"/>
      <c r="D329" s="118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120"/>
      <c r="U329" s="44"/>
      <c r="V329" s="44"/>
      <c r="W329" s="44"/>
      <c r="X329" s="121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</row>
    <row r="330">
      <c r="A330" s="44"/>
      <c r="B330" s="44"/>
      <c r="C330" s="44"/>
      <c r="D330" s="118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120"/>
      <c r="U330" s="44"/>
      <c r="V330" s="44"/>
      <c r="W330" s="44"/>
      <c r="X330" s="121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</row>
    <row r="331">
      <c r="A331" s="44"/>
      <c r="B331" s="44"/>
      <c r="C331" s="44"/>
      <c r="D331" s="118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120"/>
      <c r="U331" s="44"/>
      <c r="V331" s="44"/>
      <c r="W331" s="44"/>
      <c r="X331" s="121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</row>
    <row r="332">
      <c r="A332" s="44"/>
      <c r="B332" s="44"/>
      <c r="C332" s="44"/>
      <c r="D332" s="118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120"/>
      <c r="U332" s="44"/>
      <c r="V332" s="44"/>
      <c r="W332" s="44"/>
      <c r="X332" s="121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</row>
    <row r="333">
      <c r="A333" s="44"/>
      <c r="B333" s="44"/>
      <c r="C333" s="44"/>
      <c r="D333" s="118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120"/>
      <c r="U333" s="44"/>
      <c r="V333" s="44"/>
      <c r="W333" s="44"/>
      <c r="X333" s="121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</row>
    <row r="334">
      <c r="A334" s="44"/>
      <c r="B334" s="44"/>
      <c r="C334" s="44"/>
      <c r="D334" s="118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120"/>
      <c r="U334" s="44"/>
      <c r="V334" s="44"/>
      <c r="W334" s="44"/>
      <c r="X334" s="121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</row>
    <row r="335">
      <c r="A335" s="44"/>
      <c r="B335" s="44"/>
      <c r="C335" s="44"/>
      <c r="D335" s="118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120"/>
      <c r="U335" s="44"/>
      <c r="V335" s="44"/>
      <c r="W335" s="44"/>
      <c r="X335" s="121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</row>
    <row r="336">
      <c r="A336" s="44"/>
      <c r="B336" s="44"/>
      <c r="C336" s="44"/>
      <c r="D336" s="118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120"/>
      <c r="U336" s="44"/>
      <c r="V336" s="44"/>
      <c r="W336" s="44"/>
      <c r="X336" s="121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</row>
    <row r="337">
      <c r="A337" s="44"/>
      <c r="B337" s="44"/>
      <c r="C337" s="44"/>
      <c r="D337" s="118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120"/>
      <c r="U337" s="44"/>
      <c r="V337" s="44"/>
      <c r="W337" s="44"/>
      <c r="X337" s="121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</row>
    <row r="338">
      <c r="A338" s="44"/>
      <c r="B338" s="44"/>
      <c r="C338" s="44"/>
      <c r="D338" s="118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120"/>
      <c r="U338" s="44"/>
      <c r="V338" s="44"/>
      <c r="W338" s="44"/>
      <c r="X338" s="121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</row>
    <row r="339">
      <c r="A339" s="44"/>
      <c r="B339" s="44"/>
      <c r="C339" s="44"/>
      <c r="D339" s="118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120"/>
      <c r="U339" s="44"/>
      <c r="V339" s="44"/>
      <c r="W339" s="44"/>
      <c r="X339" s="121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</row>
    <row r="340">
      <c r="A340" s="44"/>
      <c r="B340" s="44"/>
      <c r="C340" s="44"/>
      <c r="D340" s="118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120"/>
      <c r="U340" s="44"/>
      <c r="V340" s="44"/>
      <c r="W340" s="44"/>
      <c r="X340" s="121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</row>
    <row r="341">
      <c r="A341" s="44"/>
      <c r="B341" s="44"/>
      <c r="C341" s="44"/>
      <c r="D341" s="118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120"/>
      <c r="U341" s="44"/>
      <c r="V341" s="44"/>
      <c r="W341" s="44"/>
      <c r="X341" s="121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</row>
    <row r="342">
      <c r="A342" s="44"/>
      <c r="B342" s="44"/>
      <c r="C342" s="44"/>
      <c r="D342" s="118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120"/>
      <c r="U342" s="44"/>
      <c r="V342" s="44"/>
      <c r="W342" s="44"/>
      <c r="X342" s="121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</row>
    <row r="343">
      <c r="A343" s="44"/>
      <c r="B343" s="44"/>
      <c r="C343" s="44"/>
      <c r="D343" s="118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120"/>
      <c r="U343" s="44"/>
      <c r="V343" s="44"/>
      <c r="W343" s="44"/>
      <c r="X343" s="121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</row>
    <row r="344">
      <c r="A344" s="44"/>
      <c r="B344" s="44"/>
      <c r="C344" s="44"/>
      <c r="D344" s="118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120"/>
      <c r="U344" s="44"/>
      <c r="V344" s="44"/>
      <c r="W344" s="44"/>
      <c r="X344" s="121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</row>
    <row r="345">
      <c r="A345" s="44"/>
      <c r="B345" s="44"/>
      <c r="C345" s="44"/>
      <c r="D345" s="118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120"/>
      <c r="U345" s="44"/>
      <c r="V345" s="44"/>
      <c r="W345" s="44"/>
      <c r="X345" s="121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</row>
    <row r="346">
      <c r="A346" s="44"/>
      <c r="B346" s="44"/>
      <c r="C346" s="44"/>
      <c r="D346" s="118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120"/>
      <c r="U346" s="44"/>
      <c r="V346" s="44"/>
      <c r="W346" s="44"/>
      <c r="X346" s="121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</row>
    <row r="347">
      <c r="A347" s="44"/>
      <c r="B347" s="44"/>
      <c r="C347" s="44"/>
      <c r="D347" s="118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120"/>
      <c r="U347" s="44"/>
      <c r="V347" s="44"/>
      <c r="W347" s="44"/>
      <c r="X347" s="121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</row>
    <row r="348">
      <c r="A348" s="44"/>
      <c r="B348" s="44"/>
      <c r="C348" s="44"/>
      <c r="D348" s="118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120"/>
      <c r="U348" s="44"/>
      <c r="V348" s="44"/>
      <c r="W348" s="44"/>
      <c r="X348" s="121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</row>
    <row r="349">
      <c r="A349" s="44"/>
      <c r="B349" s="44"/>
      <c r="C349" s="44"/>
      <c r="D349" s="118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120"/>
      <c r="U349" s="44"/>
      <c r="V349" s="44"/>
      <c r="W349" s="44"/>
      <c r="X349" s="121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</row>
    <row r="350">
      <c r="A350" s="44"/>
      <c r="B350" s="44"/>
      <c r="C350" s="44"/>
      <c r="D350" s="118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120"/>
      <c r="U350" s="44"/>
      <c r="V350" s="44"/>
      <c r="W350" s="44"/>
      <c r="X350" s="121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</row>
    <row r="351">
      <c r="A351" s="44"/>
      <c r="B351" s="44"/>
      <c r="C351" s="44"/>
      <c r="D351" s="118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120"/>
      <c r="U351" s="44"/>
      <c r="V351" s="44"/>
      <c r="W351" s="44"/>
      <c r="X351" s="121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</row>
    <row r="352">
      <c r="A352" s="44"/>
      <c r="B352" s="44"/>
      <c r="C352" s="44"/>
      <c r="D352" s="118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120"/>
      <c r="U352" s="44"/>
      <c r="V352" s="44"/>
      <c r="W352" s="44"/>
      <c r="X352" s="121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</row>
    <row r="353">
      <c r="A353" s="44"/>
      <c r="B353" s="44"/>
      <c r="C353" s="44"/>
      <c r="D353" s="118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120"/>
      <c r="U353" s="44"/>
      <c r="V353" s="44"/>
      <c r="W353" s="44"/>
      <c r="X353" s="121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</row>
    <row r="354">
      <c r="A354" s="44"/>
      <c r="B354" s="44"/>
      <c r="C354" s="44"/>
      <c r="D354" s="118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120"/>
      <c r="U354" s="44"/>
      <c r="V354" s="44"/>
      <c r="W354" s="44"/>
      <c r="X354" s="121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</row>
    <row r="355">
      <c r="A355" s="44"/>
      <c r="B355" s="44"/>
      <c r="C355" s="44"/>
      <c r="D355" s="118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120"/>
      <c r="U355" s="44"/>
      <c r="V355" s="44"/>
      <c r="W355" s="44"/>
      <c r="X355" s="121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</row>
    <row r="356">
      <c r="A356" s="44"/>
      <c r="B356" s="44"/>
      <c r="C356" s="44"/>
      <c r="D356" s="118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120"/>
      <c r="U356" s="44"/>
      <c r="V356" s="44"/>
      <c r="W356" s="44"/>
      <c r="X356" s="121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</row>
    <row r="357">
      <c r="A357" s="44"/>
      <c r="B357" s="44"/>
      <c r="C357" s="44"/>
      <c r="D357" s="118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120"/>
      <c r="U357" s="44"/>
      <c r="V357" s="44"/>
      <c r="W357" s="44"/>
      <c r="X357" s="121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</row>
    <row r="358">
      <c r="A358" s="44"/>
      <c r="B358" s="44"/>
      <c r="C358" s="44"/>
      <c r="D358" s="118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120"/>
      <c r="U358" s="44"/>
      <c r="V358" s="44"/>
      <c r="W358" s="44"/>
      <c r="X358" s="121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</row>
    <row r="359">
      <c r="A359" s="44"/>
      <c r="B359" s="44"/>
      <c r="C359" s="44"/>
      <c r="D359" s="118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120"/>
      <c r="U359" s="44"/>
      <c r="V359" s="44"/>
      <c r="W359" s="44"/>
      <c r="X359" s="121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</row>
    <row r="360">
      <c r="A360" s="44"/>
      <c r="B360" s="44"/>
      <c r="C360" s="44"/>
      <c r="D360" s="118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120"/>
      <c r="U360" s="44"/>
      <c r="V360" s="44"/>
      <c r="W360" s="44"/>
      <c r="X360" s="121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</row>
    <row r="361">
      <c r="A361" s="44"/>
      <c r="B361" s="44"/>
      <c r="C361" s="44"/>
      <c r="D361" s="118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120"/>
      <c r="U361" s="44"/>
      <c r="V361" s="44"/>
      <c r="W361" s="44"/>
      <c r="X361" s="121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</row>
    <row r="362">
      <c r="A362" s="44"/>
      <c r="B362" s="44"/>
      <c r="C362" s="44"/>
      <c r="D362" s="118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120"/>
      <c r="U362" s="44"/>
      <c r="V362" s="44"/>
      <c r="W362" s="44"/>
      <c r="X362" s="121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</row>
    <row r="363">
      <c r="A363" s="44"/>
      <c r="B363" s="44"/>
      <c r="C363" s="44"/>
      <c r="D363" s="118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120"/>
      <c r="U363" s="44"/>
      <c r="V363" s="44"/>
      <c r="W363" s="44"/>
      <c r="X363" s="121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</row>
    <row r="364">
      <c r="A364" s="44"/>
      <c r="B364" s="44"/>
      <c r="C364" s="44"/>
      <c r="D364" s="118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120"/>
      <c r="U364" s="44"/>
      <c r="V364" s="44"/>
      <c r="W364" s="44"/>
      <c r="X364" s="121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</row>
    <row r="365">
      <c r="A365" s="44"/>
      <c r="B365" s="44"/>
      <c r="C365" s="44"/>
      <c r="D365" s="118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120"/>
      <c r="U365" s="44"/>
      <c r="V365" s="44"/>
      <c r="W365" s="44"/>
      <c r="X365" s="121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</row>
    <row r="366">
      <c r="A366" s="44"/>
      <c r="B366" s="44"/>
      <c r="C366" s="44"/>
      <c r="D366" s="118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120"/>
      <c r="U366" s="44"/>
      <c r="V366" s="44"/>
      <c r="W366" s="44"/>
      <c r="X366" s="121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</row>
    <row r="367">
      <c r="A367" s="44"/>
      <c r="B367" s="44"/>
      <c r="C367" s="44"/>
      <c r="D367" s="118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120"/>
      <c r="U367" s="44"/>
      <c r="V367" s="44"/>
      <c r="W367" s="44"/>
      <c r="X367" s="121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</row>
    <row r="368">
      <c r="A368" s="44"/>
      <c r="B368" s="44"/>
      <c r="C368" s="44"/>
      <c r="D368" s="118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120"/>
      <c r="U368" s="44"/>
      <c r="V368" s="44"/>
      <c r="W368" s="44"/>
      <c r="X368" s="121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</row>
    <row r="369">
      <c r="A369" s="44"/>
      <c r="B369" s="44"/>
      <c r="C369" s="44"/>
      <c r="D369" s="118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120"/>
      <c r="U369" s="44"/>
      <c r="V369" s="44"/>
      <c r="W369" s="44"/>
      <c r="X369" s="121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</row>
    <row r="370">
      <c r="A370" s="44"/>
      <c r="B370" s="44"/>
      <c r="C370" s="44"/>
      <c r="D370" s="118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120"/>
      <c r="U370" s="44"/>
      <c r="V370" s="44"/>
      <c r="W370" s="44"/>
      <c r="X370" s="121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</row>
    <row r="371">
      <c r="A371" s="44"/>
      <c r="B371" s="44"/>
      <c r="C371" s="44"/>
      <c r="D371" s="118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120"/>
      <c r="U371" s="44"/>
      <c r="V371" s="44"/>
      <c r="W371" s="44"/>
      <c r="X371" s="121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</row>
    <row r="372">
      <c r="A372" s="44"/>
      <c r="B372" s="44"/>
      <c r="C372" s="44"/>
      <c r="D372" s="118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120"/>
      <c r="U372" s="44"/>
      <c r="V372" s="44"/>
      <c r="W372" s="44"/>
      <c r="X372" s="121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</row>
    <row r="373">
      <c r="A373" s="44"/>
      <c r="B373" s="44"/>
      <c r="C373" s="44"/>
      <c r="D373" s="118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120"/>
      <c r="U373" s="44"/>
      <c r="V373" s="44"/>
      <c r="W373" s="44"/>
      <c r="X373" s="121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</row>
    <row r="374">
      <c r="A374" s="44"/>
      <c r="B374" s="44"/>
      <c r="C374" s="44"/>
      <c r="D374" s="118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120"/>
      <c r="U374" s="44"/>
      <c r="V374" s="44"/>
      <c r="W374" s="44"/>
      <c r="X374" s="121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</row>
    <row r="375">
      <c r="A375" s="44"/>
      <c r="B375" s="44"/>
      <c r="C375" s="44"/>
      <c r="D375" s="118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120"/>
      <c r="U375" s="44"/>
      <c r="V375" s="44"/>
      <c r="W375" s="44"/>
      <c r="X375" s="121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</row>
    <row r="376">
      <c r="A376" s="44"/>
      <c r="B376" s="44"/>
      <c r="C376" s="44"/>
      <c r="D376" s="118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120"/>
      <c r="U376" s="44"/>
      <c r="V376" s="44"/>
      <c r="W376" s="44"/>
      <c r="X376" s="121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</row>
    <row r="377">
      <c r="A377" s="44"/>
      <c r="B377" s="44"/>
      <c r="C377" s="44"/>
      <c r="D377" s="118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120"/>
      <c r="U377" s="44"/>
      <c r="V377" s="44"/>
      <c r="W377" s="44"/>
      <c r="X377" s="121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</row>
    <row r="378">
      <c r="A378" s="44"/>
      <c r="B378" s="44"/>
      <c r="C378" s="44"/>
      <c r="D378" s="118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120"/>
      <c r="U378" s="44"/>
      <c r="V378" s="44"/>
      <c r="W378" s="44"/>
      <c r="X378" s="121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</row>
    <row r="379">
      <c r="A379" s="44"/>
      <c r="B379" s="44"/>
      <c r="C379" s="44"/>
      <c r="D379" s="118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120"/>
      <c r="U379" s="44"/>
      <c r="V379" s="44"/>
      <c r="W379" s="44"/>
      <c r="X379" s="121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</row>
    <row r="380">
      <c r="A380" s="44"/>
      <c r="B380" s="44"/>
      <c r="C380" s="44"/>
      <c r="D380" s="118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120"/>
      <c r="U380" s="44"/>
      <c r="V380" s="44"/>
      <c r="W380" s="44"/>
      <c r="X380" s="121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</row>
    <row r="381">
      <c r="A381" s="44"/>
      <c r="B381" s="44"/>
      <c r="C381" s="44"/>
      <c r="D381" s="118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120"/>
      <c r="U381" s="44"/>
      <c r="V381" s="44"/>
      <c r="W381" s="44"/>
      <c r="X381" s="121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</row>
    <row r="382">
      <c r="A382" s="44"/>
      <c r="B382" s="44"/>
      <c r="C382" s="44"/>
      <c r="D382" s="118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120"/>
      <c r="U382" s="44"/>
      <c r="V382" s="44"/>
      <c r="W382" s="44"/>
      <c r="X382" s="121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</row>
    <row r="383">
      <c r="A383" s="44"/>
      <c r="B383" s="44"/>
      <c r="C383" s="44"/>
      <c r="D383" s="118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120"/>
      <c r="U383" s="44"/>
      <c r="V383" s="44"/>
      <c r="W383" s="44"/>
      <c r="X383" s="121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</row>
    <row r="384">
      <c r="A384" s="44"/>
      <c r="B384" s="44"/>
      <c r="C384" s="44"/>
      <c r="D384" s="118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120"/>
      <c r="U384" s="44"/>
      <c r="V384" s="44"/>
      <c r="W384" s="44"/>
      <c r="X384" s="121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</row>
    <row r="385">
      <c r="A385" s="44"/>
      <c r="B385" s="44"/>
      <c r="C385" s="44"/>
      <c r="D385" s="118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120"/>
      <c r="U385" s="44"/>
      <c r="V385" s="44"/>
      <c r="W385" s="44"/>
      <c r="X385" s="121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</row>
    <row r="386">
      <c r="A386" s="44"/>
      <c r="B386" s="44"/>
      <c r="C386" s="44"/>
      <c r="D386" s="118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120"/>
      <c r="U386" s="44"/>
      <c r="V386" s="44"/>
      <c r="W386" s="44"/>
      <c r="X386" s="121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</row>
    <row r="387">
      <c r="A387" s="44"/>
      <c r="B387" s="44"/>
      <c r="C387" s="44"/>
      <c r="D387" s="118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120"/>
      <c r="U387" s="44"/>
      <c r="V387" s="44"/>
      <c r="W387" s="44"/>
      <c r="X387" s="121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</row>
    <row r="388">
      <c r="A388" s="44"/>
      <c r="B388" s="44"/>
      <c r="C388" s="44"/>
      <c r="D388" s="118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120"/>
      <c r="U388" s="44"/>
      <c r="V388" s="44"/>
      <c r="W388" s="44"/>
      <c r="X388" s="121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</row>
    <row r="389">
      <c r="A389" s="44"/>
      <c r="B389" s="44"/>
      <c r="C389" s="44"/>
      <c r="D389" s="118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120"/>
      <c r="U389" s="44"/>
      <c r="V389" s="44"/>
      <c r="W389" s="44"/>
      <c r="X389" s="121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</row>
    <row r="390">
      <c r="A390" s="44"/>
      <c r="B390" s="44"/>
      <c r="C390" s="44"/>
      <c r="D390" s="118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120"/>
      <c r="U390" s="44"/>
      <c r="V390" s="44"/>
      <c r="W390" s="44"/>
      <c r="X390" s="121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</row>
    <row r="391">
      <c r="A391" s="44"/>
      <c r="B391" s="44"/>
      <c r="C391" s="44"/>
      <c r="D391" s="118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120"/>
      <c r="U391" s="44"/>
      <c r="V391" s="44"/>
      <c r="W391" s="44"/>
      <c r="X391" s="121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</row>
    <row r="392">
      <c r="A392" s="44"/>
      <c r="B392" s="44"/>
      <c r="C392" s="44"/>
      <c r="D392" s="118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120"/>
      <c r="U392" s="44"/>
      <c r="V392" s="44"/>
      <c r="W392" s="44"/>
      <c r="X392" s="121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</row>
    <row r="393">
      <c r="A393" s="44"/>
      <c r="B393" s="44"/>
      <c r="C393" s="44"/>
      <c r="D393" s="118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120"/>
      <c r="U393" s="44"/>
      <c r="V393" s="44"/>
      <c r="W393" s="44"/>
      <c r="X393" s="121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</row>
    <row r="394">
      <c r="A394" s="44"/>
      <c r="B394" s="44"/>
      <c r="C394" s="44"/>
      <c r="D394" s="118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120"/>
      <c r="U394" s="44"/>
      <c r="V394" s="44"/>
      <c r="W394" s="44"/>
      <c r="X394" s="121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</row>
    <row r="395">
      <c r="A395" s="44"/>
      <c r="B395" s="44"/>
      <c r="C395" s="44"/>
      <c r="D395" s="118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120"/>
      <c r="U395" s="44"/>
      <c r="V395" s="44"/>
      <c r="W395" s="44"/>
      <c r="X395" s="121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</row>
    <row r="396">
      <c r="A396" s="44"/>
      <c r="B396" s="44"/>
      <c r="C396" s="44"/>
      <c r="D396" s="118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120"/>
      <c r="U396" s="44"/>
      <c r="V396" s="44"/>
      <c r="W396" s="44"/>
      <c r="X396" s="121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</row>
    <row r="397">
      <c r="A397" s="44"/>
      <c r="B397" s="44"/>
      <c r="C397" s="44"/>
      <c r="D397" s="118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120"/>
      <c r="U397" s="44"/>
      <c r="V397" s="44"/>
      <c r="W397" s="44"/>
      <c r="X397" s="121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</row>
    <row r="398">
      <c r="A398" s="44"/>
      <c r="B398" s="44"/>
      <c r="C398" s="44"/>
      <c r="D398" s="118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120"/>
      <c r="U398" s="44"/>
      <c r="V398" s="44"/>
      <c r="W398" s="44"/>
      <c r="X398" s="121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</row>
    <row r="399">
      <c r="A399" s="44"/>
      <c r="B399" s="44"/>
      <c r="C399" s="44"/>
      <c r="D399" s="118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120"/>
      <c r="U399" s="44"/>
      <c r="V399" s="44"/>
      <c r="W399" s="44"/>
      <c r="X399" s="121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</row>
    <row r="400">
      <c r="A400" s="44"/>
      <c r="B400" s="44"/>
      <c r="C400" s="44"/>
      <c r="D400" s="118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120"/>
      <c r="U400" s="44"/>
      <c r="V400" s="44"/>
      <c r="W400" s="44"/>
      <c r="X400" s="121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</row>
    <row r="401">
      <c r="A401" s="44"/>
      <c r="B401" s="44"/>
      <c r="C401" s="44"/>
      <c r="D401" s="118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120"/>
      <c r="U401" s="44"/>
      <c r="V401" s="44"/>
      <c r="W401" s="44"/>
      <c r="X401" s="121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</row>
    <row r="402">
      <c r="A402" s="44"/>
      <c r="B402" s="44"/>
      <c r="C402" s="44"/>
      <c r="D402" s="118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120"/>
      <c r="U402" s="44"/>
      <c r="V402" s="44"/>
      <c r="W402" s="44"/>
      <c r="X402" s="121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</row>
    <row r="403">
      <c r="A403" s="44"/>
      <c r="B403" s="44"/>
      <c r="C403" s="44"/>
      <c r="D403" s="118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120"/>
      <c r="U403" s="44"/>
      <c r="V403" s="44"/>
      <c r="W403" s="44"/>
      <c r="X403" s="121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</row>
    <row r="404">
      <c r="A404" s="44"/>
      <c r="B404" s="44"/>
      <c r="C404" s="44"/>
      <c r="D404" s="118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120"/>
      <c r="U404" s="44"/>
      <c r="V404" s="44"/>
      <c r="W404" s="44"/>
      <c r="X404" s="121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</row>
    <row r="405">
      <c r="A405" s="44"/>
      <c r="B405" s="44"/>
      <c r="C405" s="44"/>
      <c r="D405" s="118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120"/>
      <c r="U405" s="44"/>
      <c r="V405" s="44"/>
      <c r="W405" s="44"/>
      <c r="X405" s="121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</row>
    <row r="406">
      <c r="A406" s="44"/>
      <c r="B406" s="44"/>
      <c r="C406" s="44"/>
      <c r="D406" s="118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120"/>
      <c r="U406" s="44"/>
      <c r="V406" s="44"/>
      <c r="W406" s="44"/>
      <c r="X406" s="121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</row>
    <row r="407">
      <c r="A407" s="44"/>
      <c r="B407" s="44"/>
      <c r="C407" s="44"/>
      <c r="D407" s="118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120"/>
      <c r="U407" s="44"/>
      <c r="V407" s="44"/>
      <c r="W407" s="44"/>
      <c r="X407" s="121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</row>
    <row r="408">
      <c r="A408" s="44"/>
      <c r="B408" s="44"/>
      <c r="C408" s="44"/>
      <c r="D408" s="118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120"/>
      <c r="U408" s="44"/>
      <c r="V408" s="44"/>
      <c r="W408" s="44"/>
      <c r="X408" s="121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</row>
    <row r="409">
      <c r="A409" s="44"/>
      <c r="B409" s="44"/>
      <c r="C409" s="44"/>
      <c r="D409" s="118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120"/>
      <c r="U409" s="44"/>
      <c r="V409" s="44"/>
      <c r="W409" s="44"/>
      <c r="X409" s="121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</row>
    <row r="410">
      <c r="A410" s="44"/>
      <c r="B410" s="44"/>
      <c r="C410" s="44"/>
      <c r="D410" s="118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120"/>
      <c r="U410" s="44"/>
      <c r="V410" s="44"/>
      <c r="W410" s="44"/>
      <c r="X410" s="121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</row>
    <row r="411">
      <c r="A411" s="44"/>
      <c r="B411" s="44"/>
      <c r="C411" s="44"/>
      <c r="D411" s="118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120"/>
      <c r="U411" s="44"/>
      <c r="V411" s="44"/>
      <c r="W411" s="44"/>
      <c r="X411" s="121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</row>
    <row r="412">
      <c r="A412" s="44"/>
      <c r="B412" s="44"/>
      <c r="C412" s="44"/>
      <c r="D412" s="118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120"/>
      <c r="U412" s="44"/>
      <c r="V412" s="44"/>
      <c r="W412" s="44"/>
      <c r="X412" s="121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</row>
    <row r="413">
      <c r="A413" s="44"/>
      <c r="B413" s="44"/>
      <c r="C413" s="44"/>
      <c r="D413" s="118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120"/>
      <c r="U413" s="44"/>
      <c r="V413" s="44"/>
      <c r="W413" s="44"/>
      <c r="X413" s="121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</row>
    <row r="414">
      <c r="A414" s="44"/>
      <c r="B414" s="44"/>
      <c r="C414" s="44"/>
      <c r="D414" s="118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120"/>
      <c r="U414" s="44"/>
      <c r="V414" s="44"/>
      <c r="W414" s="44"/>
      <c r="X414" s="121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</row>
    <row r="415">
      <c r="A415" s="44"/>
      <c r="B415" s="44"/>
      <c r="C415" s="44"/>
      <c r="D415" s="118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120"/>
      <c r="U415" s="44"/>
      <c r="V415" s="44"/>
      <c r="W415" s="44"/>
      <c r="X415" s="121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</row>
    <row r="416">
      <c r="A416" s="44"/>
      <c r="B416" s="44"/>
      <c r="C416" s="44"/>
      <c r="D416" s="118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120"/>
      <c r="U416" s="44"/>
      <c r="V416" s="44"/>
      <c r="W416" s="44"/>
      <c r="X416" s="121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</row>
    <row r="417">
      <c r="A417" s="44"/>
      <c r="B417" s="44"/>
      <c r="C417" s="44"/>
      <c r="D417" s="118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120"/>
      <c r="U417" s="44"/>
      <c r="V417" s="44"/>
      <c r="W417" s="44"/>
      <c r="X417" s="121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</row>
    <row r="418">
      <c r="A418" s="44"/>
      <c r="B418" s="44"/>
      <c r="C418" s="44"/>
      <c r="D418" s="118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120"/>
      <c r="U418" s="44"/>
      <c r="V418" s="44"/>
      <c r="W418" s="44"/>
      <c r="X418" s="121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</row>
    <row r="419">
      <c r="A419" s="44"/>
      <c r="B419" s="44"/>
      <c r="C419" s="44"/>
      <c r="D419" s="118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120"/>
      <c r="U419" s="44"/>
      <c r="V419" s="44"/>
      <c r="W419" s="44"/>
      <c r="X419" s="121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</row>
    <row r="420">
      <c r="A420" s="44"/>
      <c r="B420" s="44"/>
      <c r="C420" s="44"/>
      <c r="D420" s="118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120"/>
      <c r="U420" s="44"/>
      <c r="V420" s="44"/>
      <c r="W420" s="44"/>
      <c r="X420" s="121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</row>
    <row r="421">
      <c r="A421" s="44"/>
      <c r="B421" s="44"/>
      <c r="C421" s="44"/>
      <c r="D421" s="118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120"/>
      <c r="U421" s="44"/>
      <c r="V421" s="44"/>
      <c r="W421" s="44"/>
      <c r="X421" s="121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</row>
    <row r="422">
      <c r="A422" s="44"/>
      <c r="B422" s="44"/>
      <c r="C422" s="44"/>
      <c r="D422" s="118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120"/>
      <c r="U422" s="44"/>
      <c r="V422" s="44"/>
      <c r="W422" s="44"/>
      <c r="X422" s="121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</row>
    <row r="423">
      <c r="A423" s="44"/>
      <c r="B423" s="44"/>
      <c r="C423" s="44"/>
      <c r="D423" s="118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120"/>
      <c r="U423" s="44"/>
      <c r="V423" s="44"/>
      <c r="W423" s="44"/>
      <c r="X423" s="121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</row>
    <row r="424">
      <c r="A424" s="44"/>
      <c r="B424" s="44"/>
      <c r="C424" s="44"/>
      <c r="D424" s="118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120"/>
      <c r="U424" s="44"/>
      <c r="V424" s="44"/>
      <c r="W424" s="44"/>
      <c r="X424" s="121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</row>
    <row r="425">
      <c r="A425" s="44"/>
      <c r="B425" s="44"/>
      <c r="C425" s="44"/>
      <c r="D425" s="118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120"/>
      <c r="U425" s="44"/>
      <c r="V425" s="44"/>
      <c r="W425" s="44"/>
      <c r="X425" s="121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</row>
    <row r="426">
      <c r="A426" s="44"/>
      <c r="B426" s="44"/>
      <c r="C426" s="44"/>
      <c r="D426" s="118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120"/>
      <c r="U426" s="44"/>
      <c r="V426" s="44"/>
      <c r="W426" s="44"/>
      <c r="X426" s="121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</row>
    <row r="427">
      <c r="A427" s="44"/>
      <c r="B427" s="44"/>
      <c r="C427" s="44"/>
      <c r="D427" s="118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120"/>
      <c r="U427" s="44"/>
      <c r="V427" s="44"/>
      <c r="W427" s="44"/>
      <c r="X427" s="121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</row>
    <row r="428">
      <c r="A428" s="44"/>
      <c r="B428" s="44"/>
      <c r="C428" s="44"/>
      <c r="D428" s="118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120"/>
      <c r="U428" s="44"/>
      <c r="V428" s="44"/>
      <c r="W428" s="44"/>
      <c r="X428" s="121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</row>
    <row r="429">
      <c r="A429" s="44"/>
      <c r="B429" s="44"/>
      <c r="C429" s="44"/>
      <c r="D429" s="118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120"/>
      <c r="U429" s="44"/>
      <c r="V429" s="44"/>
      <c r="W429" s="44"/>
      <c r="X429" s="121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</row>
    <row r="430">
      <c r="A430" s="44"/>
      <c r="B430" s="44"/>
      <c r="C430" s="44"/>
      <c r="D430" s="118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120"/>
      <c r="U430" s="44"/>
      <c r="V430" s="44"/>
      <c r="W430" s="44"/>
      <c r="X430" s="121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</row>
    <row r="431">
      <c r="A431" s="44"/>
      <c r="B431" s="44"/>
      <c r="C431" s="44"/>
      <c r="D431" s="118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120"/>
      <c r="U431" s="44"/>
      <c r="V431" s="44"/>
      <c r="W431" s="44"/>
      <c r="X431" s="121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</row>
    <row r="432">
      <c r="A432" s="44"/>
      <c r="B432" s="44"/>
      <c r="C432" s="44"/>
      <c r="D432" s="118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120"/>
      <c r="U432" s="44"/>
      <c r="V432" s="44"/>
      <c r="W432" s="44"/>
      <c r="X432" s="121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</row>
    <row r="433">
      <c r="A433" s="44"/>
      <c r="B433" s="44"/>
      <c r="C433" s="44"/>
      <c r="D433" s="118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120"/>
      <c r="U433" s="44"/>
      <c r="V433" s="44"/>
      <c r="W433" s="44"/>
      <c r="X433" s="121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</row>
    <row r="434">
      <c r="A434" s="44"/>
      <c r="B434" s="44"/>
      <c r="C434" s="44"/>
      <c r="D434" s="118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120"/>
      <c r="U434" s="44"/>
      <c r="V434" s="44"/>
      <c r="W434" s="44"/>
      <c r="X434" s="121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</row>
    <row r="435">
      <c r="A435" s="44"/>
      <c r="B435" s="44"/>
      <c r="C435" s="44"/>
      <c r="D435" s="118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120"/>
      <c r="U435" s="44"/>
      <c r="V435" s="44"/>
      <c r="W435" s="44"/>
      <c r="X435" s="121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</row>
    <row r="436">
      <c r="A436" s="44"/>
      <c r="B436" s="44"/>
      <c r="C436" s="44"/>
      <c r="D436" s="118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120"/>
      <c r="U436" s="44"/>
      <c r="V436" s="44"/>
      <c r="W436" s="44"/>
      <c r="X436" s="121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</row>
    <row r="437">
      <c r="A437" s="44"/>
      <c r="B437" s="44"/>
      <c r="C437" s="44"/>
      <c r="D437" s="118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120"/>
      <c r="U437" s="44"/>
      <c r="V437" s="44"/>
      <c r="W437" s="44"/>
      <c r="X437" s="121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</row>
    <row r="438">
      <c r="A438" s="44"/>
      <c r="B438" s="44"/>
      <c r="C438" s="44"/>
      <c r="D438" s="118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120"/>
      <c r="U438" s="44"/>
      <c r="V438" s="44"/>
      <c r="W438" s="44"/>
      <c r="X438" s="121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</row>
    <row r="439">
      <c r="A439" s="44"/>
      <c r="B439" s="44"/>
      <c r="C439" s="44"/>
      <c r="D439" s="118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120"/>
      <c r="U439" s="44"/>
      <c r="V439" s="44"/>
      <c r="W439" s="44"/>
      <c r="X439" s="121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</row>
    <row r="440">
      <c r="A440" s="44"/>
      <c r="B440" s="44"/>
      <c r="C440" s="44"/>
      <c r="D440" s="118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120"/>
      <c r="U440" s="44"/>
      <c r="V440" s="44"/>
      <c r="W440" s="44"/>
      <c r="X440" s="121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</row>
    <row r="441">
      <c r="A441" s="44"/>
      <c r="B441" s="44"/>
      <c r="C441" s="44"/>
      <c r="D441" s="118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120"/>
      <c r="U441" s="44"/>
      <c r="V441" s="44"/>
      <c r="W441" s="44"/>
      <c r="X441" s="121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</row>
    <row r="442">
      <c r="A442" s="44"/>
      <c r="B442" s="44"/>
      <c r="C442" s="44"/>
      <c r="D442" s="118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120"/>
      <c r="U442" s="44"/>
      <c r="V442" s="44"/>
      <c r="W442" s="44"/>
      <c r="X442" s="121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</row>
    <row r="443">
      <c r="A443" s="44"/>
      <c r="B443" s="44"/>
      <c r="C443" s="44"/>
      <c r="D443" s="118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120"/>
      <c r="U443" s="44"/>
      <c r="V443" s="44"/>
      <c r="W443" s="44"/>
      <c r="X443" s="121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</row>
    <row r="444">
      <c r="A444" s="44"/>
      <c r="B444" s="44"/>
      <c r="C444" s="44"/>
      <c r="D444" s="118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120"/>
      <c r="U444" s="44"/>
      <c r="V444" s="44"/>
      <c r="W444" s="44"/>
      <c r="X444" s="121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</row>
    <row r="445">
      <c r="A445" s="44"/>
      <c r="B445" s="44"/>
      <c r="C445" s="44"/>
      <c r="D445" s="118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120"/>
      <c r="U445" s="44"/>
      <c r="V445" s="44"/>
      <c r="W445" s="44"/>
      <c r="X445" s="121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</row>
    <row r="446">
      <c r="A446" s="44"/>
      <c r="B446" s="44"/>
      <c r="C446" s="44"/>
      <c r="D446" s="118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120"/>
      <c r="U446" s="44"/>
      <c r="V446" s="44"/>
      <c r="W446" s="44"/>
      <c r="X446" s="121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</row>
    <row r="447">
      <c r="A447" s="44"/>
      <c r="B447" s="44"/>
      <c r="C447" s="44"/>
      <c r="D447" s="118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120"/>
      <c r="U447" s="44"/>
      <c r="V447" s="44"/>
      <c r="W447" s="44"/>
      <c r="X447" s="121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</row>
    <row r="448">
      <c r="A448" s="44"/>
      <c r="B448" s="44"/>
      <c r="C448" s="44"/>
      <c r="D448" s="118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120"/>
      <c r="U448" s="44"/>
      <c r="V448" s="44"/>
      <c r="W448" s="44"/>
      <c r="X448" s="121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</row>
    <row r="449">
      <c r="A449" s="44"/>
      <c r="B449" s="44"/>
      <c r="C449" s="44"/>
      <c r="D449" s="118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120"/>
      <c r="U449" s="44"/>
      <c r="V449" s="44"/>
      <c r="W449" s="44"/>
      <c r="X449" s="121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</row>
    <row r="450">
      <c r="A450" s="44"/>
      <c r="B450" s="44"/>
      <c r="C450" s="44"/>
      <c r="D450" s="118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120"/>
      <c r="U450" s="44"/>
      <c r="V450" s="44"/>
      <c r="W450" s="44"/>
      <c r="X450" s="121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</row>
    <row r="451">
      <c r="A451" s="44"/>
      <c r="B451" s="44"/>
      <c r="C451" s="44"/>
      <c r="D451" s="118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120"/>
      <c r="U451" s="44"/>
      <c r="V451" s="44"/>
      <c r="W451" s="44"/>
      <c r="X451" s="121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</row>
    <row r="452">
      <c r="A452" s="44"/>
      <c r="B452" s="44"/>
      <c r="C452" s="44"/>
      <c r="D452" s="118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120"/>
      <c r="U452" s="44"/>
      <c r="V452" s="44"/>
      <c r="W452" s="44"/>
      <c r="X452" s="121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</row>
    <row r="453">
      <c r="A453" s="44"/>
      <c r="B453" s="44"/>
      <c r="C453" s="44"/>
      <c r="D453" s="118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120"/>
      <c r="U453" s="44"/>
      <c r="V453" s="44"/>
      <c r="W453" s="44"/>
      <c r="X453" s="121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</row>
    <row r="454">
      <c r="A454" s="44"/>
      <c r="B454" s="44"/>
      <c r="C454" s="44"/>
      <c r="D454" s="118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120"/>
      <c r="U454" s="44"/>
      <c r="V454" s="44"/>
      <c r="W454" s="44"/>
      <c r="X454" s="121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</row>
    <row r="455">
      <c r="A455" s="44"/>
      <c r="B455" s="44"/>
      <c r="C455" s="44"/>
      <c r="D455" s="118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120"/>
      <c r="U455" s="44"/>
      <c r="V455" s="44"/>
      <c r="W455" s="44"/>
      <c r="X455" s="121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</row>
    <row r="456">
      <c r="A456" s="44"/>
      <c r="B456" s="44"/>
      <c r="C456" s="44"/>
      <c r="D456" s="118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120"/>
      <c r="U456" s="44"/>
      <c r="V456" s="44"/>
      <c r="W456" s="44"/>
      <c r="X456" s="121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</row>
    <row r="457">
      <c r="A457" s="44"/>
      <c r="B457" s="44"/>
      <c r="C457" s="44"/>
      <c r="D457" s="118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120"/>
      <c r="U457" s="44"/>
      <c r="V457" s="44"/>
      <c r="W457" s="44"/>
      <c r="X457" s="121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</row>
    <row r="458">
      <c r="A458" s="44"/>
      <c r="B458" s="44"/>
      <c r="C458" s="44"/>
      <c r="D458" s="118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120"/>
      <c r="U458" s="44"/>
      <c r="V458" s="44"/>
      <c r="W458" s="44"/>
      <c r="X458" s="121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</row>
    <row r="459">
      <c r="A459" s="44"/>
      <c r="B459" s="44"/>
      <c r="C459" s="44"/>
      <c r="D459" s="118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120"/>
      <c r="U459" s="44"/>
      <c r="V459" s="44"/>
      <c r="W459" s="44"/>
      <c r="X459" s="121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</row>
    <row r="460">
      <c r="A460" s="44"/>
      <c r="B460" s="44"/>
      <c r="C460" s="44"/>
      <c r="D460" s="118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120"/>
      <c r="U460" s="44"/>
      <c r="V460" s="44"/>
      <c r="W460" s="44"/>
      <c r="X460" s="121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</row>
    <row r="461">
      <c r="A461" s="44"/>
      <c r="B461" s="44"/>
      <c r="C461" s="44"/>
      <c r="D461" s="118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120"/>
      <c r="U461" s="44"/>
      <c r="V461" s="44"/>
      <c r="W461" s="44"/>
      <c r="X461" s="121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</row>
    <row r="462">
      <c r="A462" s="44"/>
      <c r="B462" s="44"/>
      <c r="C462" s="44"/>
      <c r="D462" s="118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120"/>
      <c r="U462" s="44"/>
      <c r="V462" s="44"/>
      <c r="W462" s="44"/>
      <c r="X462" s="121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</row>
    <row r="463">
      <c r="A463" s="44"/>
      <c r="B463" s="44"/>
      <c r="C463" s="44"/>
      <c r="D463" s="118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120"/>
      <c r="U463" s="44"/>
      <c r="V463" s="44"/>
      <c r="W463" s="44"/>
      <c r="X463" s="121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</row>
    <row r="464">
      <c r="A464" s="44"/>
      <c r="B464" s="44"/>
      <c r="C464" s="44"/>
      <c r="D464" s="118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120"/>
      <c r="U464" s="44"/>
      <c r="V464" s="44"/>
      <c r="W464" s="44"/>
      <c r="X464" s="121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</row>
    <row r="465">
      <c r="A465" s="44"/>
      <c r="B465" s="44"/>
      <c r="C465" s="44"/>
      <c r="D465" s="118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120"/>
      <c r="U465" s="44"/>
      <c r="V465" s="44"/>
      <c r="W465" s="44"/>
      <c r="X465" s="121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</row>
    <row r="466">
      <c r="A466" s="44"/>
      <c r="B466" s="44"/>
      <c r="C466" s="44"/>
      <c r="D466" s="118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120"/>
      <c r="U466" s="44"/>
      <c r="V466" s="44"/>
      <c r="W466" s="44"/>
      <c r="X466" s="121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</row>
    <row r="467">
      <c r="A467" s="44"/>
      <c r="B467" s="44"/>
      <c r="C467" s="44"/>
      <c r="D467" s="118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120"/>
      <c r="U467" s="44"/>
      <c r="V467" s="44"/>
      <c r="W467" s="44"/>
      <c r="X467" s="121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</row>
    <row r="468">
      <c r="A468" s="44"/>
      <c r="B468" s="44"/>
      <c r="C468" s="44"/>
      <c r="D468" s="118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120"/>
      <c r="U468" s="44"/>
      <c r="V468" s="44"/>
      <c r="W468" s="44"/>
      <c r="X468" s="121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</row>
    <row r="469">
      <c r="A469" s="44"/>
      <c r="B469" s="44"/>
      <c r="C469" s="44"/>
      <c r="D469" s="118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120"/>
      <c r="U469" s="44"/>
      <c r="V469" s="44"/>
      <c r="W469" s="44"/>
      <c r="X469" s="121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</row>
    <row r="470">
      <c r="A470" s="44"/>
      <c r="B470" s="44"/>
      <c r="C470" s="44"/>
      <c r="D470" s="118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120"/>
      <c r="U470" s="44"/>
      <c r="V470" s="44"/>
      <c r="W470" s="44"/>
      <c r="X470" s="121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</row>
    <row r="471">
      <c r="A471" s="44"/>
      <c r="B471" s="44"/>
      <c r="C471" s="44"/>
      <c r="D471" s="118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120"/>
      <c r="U471" s="44"/>
      <c r="V471" s="44"/>
      <c r="W471" s="44"/>
      <c r="X471" s="121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</row>
    <row r="472">
      <c r="A472" s="44"/>
      <c r="B472" s="44"/>
      <c r="C472" s="44"/>
      <c r="D472" s="118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120"/>
      <c r="U472" s="44"/>
      <c r="V472" s="44"/>
      <c r="W472" s="44"/>
      <c r="X472" s="121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</row>
    <row r="473">
      <c r="A473" s="44"/>
      <c r="B473" s="44"/>
      <c r="C473" s="44"/>
      <c r="D473" s="118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120"/>
      <c r="U473" s="44"/>
      <c r="V473" s="44"/>
      <c r="W473" s="44"/>
      <c r="X473" s="121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</row>
    <row r="474">
      <c r="A474" s="44"/>
      <c r="B474" s="44"/>
      <c r="C474" s="44"/>
      <c r="D474" s="118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120"/>
      <c r="U474" s="44"/>
      <c r="V474" s="44"/>
      <c r="W474" s="44"/>
      <c r="X474" s="121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</row>
    <row r="475">
      <c r="A475" s="44"/>
      <c r="B475" s="44"/>
      <c r="C475" s="44"/>
      <c r="D475" s="118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120"/>
      <c r="U475" s="44"/>
      <c r="V475" s="44"/>
      <c r="W475" s="44"/>
      <c r="X475" s="121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</row>
    <row r="476">
      <c r="A476" s="44"/>
      <c r="B476" s="44"/>
      <c r="C476" s="44"/>
      <c r="D476" s="118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120"/>
      <c r="U476" s="44"/>
      <c r="V476" s="44"/>
      <c r="W476" s="44"/>
      <c r="X476" s="121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</row>
    <row r="477">
      <c r="A477" s="44"/>
      <c r="B477" s="44"/>
      <c r="C477" s="44"/>
      <c r="D477" s="118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120"/>
      <c r="U477" s="44"/>
      <c r="V477" s="44"/>
      <c r="W477" s="44"/>
      <c r="X477" s="121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</row>
    <row r="478">
      <c r="A478" s="44"/>
      <c r="B478" s="44"/>
      <c r="C478" s="44"/>
      <c r="D478" s="118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120"/>
      <c r="U478" s="44"/>
      <c r="V478" s="44"/>
      <c r="W478" s="44"/>
      <c r="X478" s="121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</row>
    <row r="479">
      <c r="A479" s="44"/>
      <c r="B479" s="44"/>
      <c r="C479" s="44"/>
      <c r="D479" s="118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120"/>
      <c r="U479" s="44"/>
      <c r="V479" s="44"/>
      <c r="W479" s="44"/>
      <c r="X479" s="121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</row>
    <row r="480">
      <c r="A480" s="44"/>
      <c r="B480" s="44"/>
      <c r="C480" s="44"/>
      <c r="D480" s="118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120"/>
      <c r="U480" s="44"/>
      <c r="V480" s="44"/>
      <c r="W480" s="44"/>
      <c r="X480" s="121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</row>
    <row r="481">
      <c r="A481" s="44"/>
      <c r="B481" s="44"/>
      <c r="C481" s="44"/>
      <c r="D481" s="118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120"/>
      <c r="U481" s="44"/>
      <c r="V481" s="44"/>
      <c r="W481" s="44"/>
      <c r="X481" s="121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</row>
    <row r="482">
      <c r="A482" s="44"/>
      <c r="B482" s="44"/>
      <c r="C482" s="44"/>
      <c r="D482" s="118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120"/>
      <c r="U482" s="44"/>
      <c r="V482" s="44"/>
      <c r="W482" s="44"/>
      <c r="X482" s="121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</row>
    <row r="483">
      <c r="A483" s="44"/>
      <c r="B483" s="44"/>
      <c r="C483" s="44"/>
      <c r="D483" s="118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120"/>
      <c r="U483" s="44"/>
      <c r="V483" s="44"/>
      <c r="W483" s="44"/>
      <c r="X483" s="121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</row>
    <row r="484">
      <c r="A484" s="44"/>
      <c r="B484" s="44"/>
      <c r="C484" s="44"/>
      <c r="D484" s="118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120"/>
      <c r="U484" s="44"/>
      <c r="V484" s="44"/>
      <c r="W484" s="44"/>
      <c r="X484" s="121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</row>
    <row r="485">
      <c r="A485" s="44"/>
      <c r="B485" s="44"/>
      <c r="C485" s="44"/>
      <c r="D485" s="118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120"/>
      <c r="U485" s="44"/>
      <c r="V485" s="44"/>
      <c r="W485" s="44"/>
      <c r="X485" s="121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</row>
    <row r="486">
      <c r="A486" s="44"/>
      <c r="B486" s="44"/>
      <c r="C486" s="44"/>
      <c r="D486" s="118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120"/>
      <c r="U486" s="44"/>
      <c r="V486" s="44"/>
      <c r="W486" s="44"/>
      <c r="X486" s="121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</row>
    <row r="487">
      <c r="A487" s="44"/>
      <c r="B487" s="44"/>
      <c r="C487" s="44"/>
      <c r="D487" s="118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120"/>
      <c r="U487" s="44"/>
      <c r="V487" s="44"/>
      <c r="W487" s="44"/>
      <c r="X487" s="121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</row>
    <row r="488">
      <c r="A488" s="44"/>
      <c r="B488" s="44"/>
      <c r="C488" s="44"/>
      <c r="D488" s="118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120"/>
      <c r="U488" s="44"/>
      <c r="V488" s="44"/>
      <c r="W488" s="44"/>
      <c r="X488" s="121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</row>
    <row r="489">
      <c r="A489" s="44"/>
      <c r="B489" s="44"/>
      <c r="C489" s="44"/>
      <c r="D489" s="118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120"/>
      <c r="U489" s="44"/>
      <c r="V489" s="44"/>
      <c r="W489" s="44"/>
      <c r="X489" s="121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</row>
    <row r="490">
      <c r="A490" s="44"/>
      <c r="B490" s="44"/>
      <c r="C490" s="44"/>
      <c r="D490" s="118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120"/>
      <c r="U490" s="44"/>
      <c r="V490" s="44"/>
      <c r="W490" s="44"/>
      <c r="X490" s="121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</row>
    <row r="491">
      <c r="A491" s="44"/>
      <c r="B491" s="44"/>
      <c r="C491" s="44"/>
      <c r="D491" s="118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120"/>
      <c r="U491" s="44"/>
      <c r="V491" s="44"/>
      <c r="W491" s="44"/>
      <c r="X491" s="121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</row>
    <row r="492">
      <c r="A492" s="44"/>
      <c r="B492" s="44"/>
      <c r="C492" s="44"/>
      <c r="D492" s="118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120"/>
      <c r="U492" s="44"/>
      <c r="V492" s="44"/>
      <c r="W492" s="44"/>
      <c r="X492" s="121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</row>
    <row r="493">
      <c r="A493" s="44"/>
      <c r="B493" s="44"/>
      <c r="C493" s="44"/>
      <c r="D493" s="118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120"/>
      <c r="U493" s="44"/>
      <c r="V493" s="44"/>
      <c r="W493" s="44"/>
      <c r="X493" s="121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</row>
    <row r="494">
      <c r="A494" s="44"/>
      <c r="B494" s="44"/>
      <c r="C494" s="44"/>
      <c r="D494" s="118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120"/>
      <c r="U494" s="44"/>
      <c r="V494" s="44"/>
      <c r="W494" s="44"/>
      <c r="X494" s="121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</row>
    <row r="495">
      <c r="A495" s="44"/>
      <c r="B495" s="44"/>
      <c r="C495" s="44"/>
      <c r="D495" s="118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120"/>
      <c r="U495" s="44"/>
      <c r="V495" s="44"/>
      <c r="W495" s="44"/>
      <c r="X495" s="121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</row>
    <row r="496">
      <c r="A496" s="44"/>
      <c r="B496" s="44"/>
      <c r="C496" s="44"/>
      <c r="D496" s="118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120"/>
      <c r="U496" s="44"/>
      <c r="V496" s="44"/>
      <c r="W496" s="44"/>
      <c r="X496" s="121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</row>
    <row r="497">
      <c r="A497" s="44"/>
      <c r="B497" s="44"/>
      <c r="C497" s="44"/>
      <c r="D497" s="118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120"/>
      <c r="U497" s="44"/>
      <c r="V497" s="44"/>
      <c r="W497" s="44"/>
      <c r="X497" s="121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</row>
    <row r="498">
      <c r="A498" s="44"/>
      <c r="B498" s="44"/>
      <c r="C498" s="44"/>
      <c r="D498" s="118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120"/>
      <c r="U498" s="44"/>
      <c r="V498" s="44"/>
      <c r="W498" s="44"/>
      <c r="X498" s="121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</row>
    <row r="499">
      <c r="A499" s="44"/>
      <c r="B499" s="44"/>
      <c r="C499" s="44"/>
      <c r="D499" s="118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120"/>
      <c r="U499" s="44"/>
      <c r="V499" s="44"/>
      <c r="W499" s="44"/>
      <c r="X499" s="121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</row>
    <row r="500">
      <c r="A500" s="44"/>
      <c r="B500" s="44"/>
      <c r="C500" s="44"/>
      <c r="D500" s="118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120"/>
      <c r="U500" s="44"/>
      <c r="V500" s="44"/>
      <c r="W500" s="44"/>
      <c r="X500" s="121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</row>
    <row r="501">
      <c r="A501" s="44"/>
      <c r="B501" s="44"/>
      <c r="C501" s="44"/>
      <c r="D501" s="118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120"/>
      <c r="U501" s="44"/>
      <c r="V501" s="44"/>
      <c r="W501" s="44"/>
      <c r="X501" s="121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</row>
    <row r="502">
      <c r="A502" s="44"/>
      <c r="B502" s="44"/>
      <c r="C502" s="44"/>
      <c r="D502" s="118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120"/>
      <c r="U502" s="44"/>
      <c r="V502" s="44"/>
      <c r="W502" s="44"/>
      <c r="X502" s="121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</row>
    <row r="503">
      <c r="A503" s="44"/>
      <c r="B503" s="44"/>
      <c r="C503" s="44"/>
      <c r="D503" s="118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120"/>
      <c r="U503" s="44"/>
      <c r="V503" s="44"/>
      <c r="W503" s="44"/>
      <c r="X503" s="121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</row>
    <row r="504">
      <c r="A504" s="44"/>
      <c r="B504" s="44"/>
      <c r="C504" s="44"/>
      <c r="D504" s="118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120"/>
      <c r="U504" s="44"/>
      <c r="V504" s="44"/>
      <c r="W504" s="44"/>
      <c r="X504" s="121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</row>
    <row r="505">
      <c r="A505" s="44"/>
      <c r="B505" s="44"/>
      <c r="C505" s="44"/>
      <c r="D505" s="118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120"/>
      <c r="U505" s="44"/>
      <c r="V505" s="44"/>
      <c r="W505" s="44"/>
      <c r="X505" s="121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</row>
    <row r="506">
      <c r="A506" s="44"/>
      <c r="B506" s="44"/>
      <c r="C506" s="44"/>
      <c r="D506" s="118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120"/>
      <c r="U506" s="44"/>
      <c r="V506" s="44"/>
      <c r="W506" s="44"/>
      <c r="X506" s="121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</row>
    <row r="507">
      <c r="A507" s="44"/>
      <c r="B507" s="44"/>
      <c r="C507" s="44"/>
      <c r="D507" s="118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120"/>
      <c r="U507" s="44"/>
      <c r="V507" s="44"/>
      <c r="W507" s="44"/>
      <c r="X507" s="121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</row>
    <row r="508">
      <c r="A508" s="44"/>
      <c r="B508" s="44"/>
      <c r="C508" s="44"/>
      <c r="D508" s="118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120"/>
      <c r="U508" s="44"/>
      <c r="V508" s="44"/>
      <c r="W508" s="44"/>
      <c r="X508" s="121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</row>
    <row r="509">
      <c r="A509" s="44"/>
      <c r="B509" s="44"/>
      <c r="C509" s="44"/>
      <c r="D509" s="118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120"/>
      <c r="U509" s="44"/>
      <c r="V509" s="44"/>
      <c r="W509" s="44"/>
      <c r="X509" s="121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</row>
    <row r="510">
      <c r="A510" s="44"/>
      <c r="B510" s="44"/>
      <c r="C510" s="44"/>
      <c r="D510" s="118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120"/>
      <c r="U510" s="44"/>
      <c r="V510" s="44"/>
      <c r="W510" s="44"/>
      <c r="X510" s="121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</row>
    <row r="511">
      <c r="A511" s="44"/>
      <c r="B511" s="44"/>
      <c r="C511" s="44"/>
      <c r="D511" s="118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120"/>
      <c r="U511" s="44"/>
      <c r="V511" s="44"/>
      <c r="W511" s="44"/>
      <c r="X511" s="121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</row>
    <row r="512">
      <c r="A512" s="44"/>
      <c r="B512" s="44"/>
      <c r="C512" s="44"/>
      <c r="D512" s="118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120"/>
      <c r="U512" s="44"/>
      <c r="V512" s="44"/>
      <c r="W512" s="44"/>
      <c r="X512" s="121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</row>
    <row r="513">
      <c r="A513" s="44"/>
      <c r="B513" s="44"/>
      <c r="C513" s="44"/>
      <c r="D513" s="118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120"/>
      <c r="U513" s="44"/>
      <c r="V513" s="44"/>
      <c r="W513" s="44"/>
      <c r="X513" s="121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</row>
    <row r="514">
      <c r="A514" s="44"/>
      <c r="B514" s="44"/>
      <c r="C514" s="44"/>
      <c r="D514" s="118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120"/>
      <c r="U514" s="44"/>
      <c r="V514" s="44"/>
      <c r="W514" s="44"/>
      <c r="X514" s="121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</row>
    <row r="515">
      <c r="A515" s="44"/>
      <c r="B515" s="44"/>
      <c r="C515" s="44"/>
      <c r="D515" s="118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120"/>
      <c r="U515" s="44"/>
      <c r="V515" s="44"/>
      <c r="W515" s="44"/>
      <c r="X515" s="121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</row>
    <row r="516">
      <c r="A516" s="44"/>
      <c r="B516" s="44"/>
      <c r="C516" s="44"/>
      <c r="D516" s="118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120"/>
      <c r="U516" s="44"/>
      <c r="V516" s="44"/>
      <c r="W516" s="44"/>
      <c r="X516" s="121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</row>
    <row r="517">
      <c r="A517" s="44"/>
      <c r="B517" s="44"/>
      <c r="C517" s="44"/>
      <c r="D517" s="118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120"/>
      <c r="U517" s="44"/>
      <c r="V517" s="44"/>
      <c r="W517" s="44"/>
      <c r="X517" s="121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</row>
    <row r="518">
      <c r="A518" s="44"/>
      <c r="B518" s="44"/>
      <c r="C518" s="44"/>
      <c r="D518" s="118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120"/>
      <c r="U518" s="44"/>
      <c r="V518" s="44"/>
      <c r="W518" s="44"/>
      <c r="X518" s="121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</row>
    <row r="519">
      <c r="A519" s="44"/>
      <c r="B519" s="44"/>
      <c r="C519" s="44"/>
      <c r="D519" s="118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120"/>
      <c r="U519" s="44"/>
      <c r="V519" s="44"/>
      <c r="W519" s="44"/>
      <c r="X519" s="121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</row>
    <row r="520">
      <c r="A520" s="44"/>
      <c r="B520" s="44"/>
      <c r="C520" s="44"/>
      <c r="D520" s="118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120"/>
      <c r="U520" s="44"/>
      <c r="V520" s="44"/>
      <c r="W520" s="44"/>
      <c r="X520" s="121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</row>
    <row r="521">
      <c r="A521" s="44"/>
      <c r="B521" s="44"/>
      <c r="C521" s="44"/>
      <c r="D521" s="118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120"/>
      <c r="U521" s="44"/>
      <c r="V521" s="44"/>
      <c r="W521" s="44"/>
      <c r="X521" s="121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</row>
    <row r="522">
      <c r="A522" s="44"/>
      <c r="B522" s="44"/>
      <c r="C522" s="44"/>
      <c r="D522" s="118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120"/>
      <c r="U522" s="44"/>
      <c r="V522" s="44"/>
      <c r="W522" s="44"/>
      <c r="X522" s="121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</row>
    <row r="523">
      <c r="A523" s="44"/>
      <c r="B523" s="44"/>
      <c r="C523" s="44"/>
      <c r="D523" s="118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120"/>
      <c r="U523" s="44"/>
      <c r="V523" s="44"/>
      <c r="W523" s="44"/>
      <c r="X523" s="121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</row>
    <row r="524">
      <c r="A524" s="44"/>
      <c r="B524" s="44"/>
      <c r="C524" s="44"/>
      <c r="D524" s="118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120"/>
      <c r="U524" s="44"/>
      <c r="V524" s="44"/>
      <c r="W524" s="44"/>
      <c r="X524" s="121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</row>
    <row r="525">
      <c r="A525" s="44"/>
      <c r="B525" s="44"/>
      <c r="C525" s="44"/>
      <c r="D525" s="118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120"/>
      <c r="U525" s="44"/>
      <c r="V525" s="44"/>
      <c r="W525" s="44"/>
      <c r="X525" s="121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</row>
    <row r="526">
      <c r="A526" s="44"/>
      <c r="B526" s="44"/>
      <c r="C526" s="44"/>
      <c r="D526" s="118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120"/>
      <c r="U526" s="44"/>
      <c r="V526" s="44"/>
      <c r="W526" s="44"/>
      <c r="X526" s="121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</row>
    <row r="527">
      <c r="A527" s="44"/>
      <c r="B527" s="44"/>
      <c r="C527" s="44"/>
      <c r="D527" s="118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120"/>
      <c r="U527" s="44"/>
      <c r="V527" s="44"/>
      <c r="W527" s="44"/>
      <c r="X527" s="121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</row>
    <row r="528">
      <c r="A528" s="44"/>
      <c r="B528" s="44"/>
      <c r="C528" s="44"/>
      <c r="D528" s="118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120"/>
      <c r="U528" s="44"/>
      <c r="V528" s="44"/>
      <c r="W528" s="44"/>
      <c r="X528" s="121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</row>
    <row r="529">
      <c r="A529" s="44"/>
      <c r="B529" s="44"/>
      <c r="C529" s="44"/>
      <c r="D529" s="118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120"/>
      <c r="U529" s="44"/>
      <c r="V529" s="44"/>
      <c r="W529" s="44"/>
      <c r="X529" s="121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</row>
    <row r="530">
      <c r="A530" s="44"/>
      <c r="B530" s="44"/>
      <c r="C530" s="44"/>
      <c r="D530" s="118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120"/>
      <c r="U530" s="44"/>
      <c r="V530" s="44"/>
      <c r="W530" s="44"/>
      <c r="X530" s="121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</row>
    <row r="531">
      <c r="A531" s="44"/>
      <c r="B531" s="44"/>
      <c r="C531" s="44"/>
      <c r="D531" s="118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120"/>
      <c r="U531" s="44"/>
      <c r="V531" s="44"/>
      <c r="W531" s="44"/>
      <c r="X531" s="121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</row>
    <row r="532">
      <c r="A532" s="44"/>
      <c r="B532" s="44"/>
      <c r="C532" s="44"/>
      <c r="D532" s="118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120"/>
      <c r="U532" s="44"/>
      <c r="V532" s="44"/>
      <c r="W532" s="44"/>
      <c r="X532" s="121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</row>
    <row r="533">
      <c r="A533" s="44"/>
      <c r="B533" s="44"/>
      <c r="C533" s="44"/>
      <c r="D533" s="118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120"/>
      <c r="U533" s="44"/>
      <c r="V533" s="44"/>
      <c r="W533" s="44"/>
      <c r="X533" s="121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</row>
    <row r="534">
      <c r="A534" s="44"/>
      <c r="B534" s="44"/>
      <c r="C534" s="44"/>
      <c r="D534" s="118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120"/>
      <c r="U534" s="44"/>
      <c r="V534" s="44"/>
      <c r="W534" s="44"/>
      <c r="X534" s="121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</row>
    <row r="535">
      <c r="A535" s="44"/>
      <c r="B535" s="44"/>
      <c r="C535" s="44"/>
      <c r="D535" s="118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120"/>
      <c r="U535" s="44"/>
      <c r="V535" s="44"/>
      <c r="W535" s="44"/>
      <c r="X535" s="121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</row>
    <row r="536">
      <c r="A536" s="44"/>
      <c r="B536" s="44"/>
      <c r="C536" s="44"/>
      <c r="D536" s="118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120"/>
      <c r="U536" s="44"/>
      <c r="V536" s="44"/>
      <c r="W536" s="44"/>
      <c r="X536" s="121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</row>
    <row r="537">
      <c r="A537" s="44"/>
      <c r="B537" s="44"/>
      <c r="C537" s="44"/>
      <c r="D537" s="118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120"/>
      <c r="U537" s="44"/>
      <c r="V537" s="44"/>
      <c r="W537" s="44"/>
      <c r="X537" s="121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</row>
    <row r="538">
      <c r="A538" s="44"/>
      <c r="B538" s="44"/>
      <c r="C538" s="44"/>
      <c r="D538" s="118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120"/>
      <c r="U538" s="44"/>
      <c r="V538" s="44"/>
      <c r="W538" s="44"/>
      <c r="X538" s="121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</row>
    <row r="539">
      <c r="A539" s="44"/>
      <c r="B539" s="44"/>
      <c r="C539" s="44"/>
      <c r="D539" s="118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120"/>
      <c r="U539" s="44"/>
      <c r="V539" s="44"/>
      <c r="W539" s="44"/>
      <c r="X539" s="121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</row>
    <row r="540">
      <c r="A540" s="44"/>
      <c r="B540" s="44"/>
      <c r="C540" s="44"/>
      <c r="D540" s="118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120"/>
      <c r="U540" s="44"/>
      <c r="V540" s="44"/>
      <c r="W540" s="44"/>
      <c r="X540" s="121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</row>
    <row r="541">
      <c r="A541" s="44"/>
      <c r="B541" s="44"/>
      <c r="C541" s="44"/>
      <c r="D541" s="118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120"/>
      <c r="U541" s="44"/>
      <c r="V541" s="44"/>
      <c r="W541" s="44"/>
      <c r="X541" s="121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</row>
    <row r="542">
      <c r="A542" s="44"/>
      <c r="B542" s="44"/>
      <c r="C542" s="44"/>
      <c r="D542" s="118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120"/>
      <c r="U542" s="44"/>
      <c r="V542" s="44"/>
      <c r="W542" s="44"/>
      <c r="X542" s="121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</row>
    <row r="543">
      <c r="A543" s="44"/>
      <c r="B543" s="44"/>
      <c r="C543" s="44"/>
      <c r="D543" s="118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120"/>
      <c r="U543" s="44"/>
      <c r="V543" s="44"/>
      <c r="W543" s="44"/>
      <c r="X543" s="121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</row>
    <row r="544">
      <c r="A544" s="44"/>
      <c r="B544" s="44"/>
      <c r="C544" s="44"/>
      <c r="D544" s="118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120"/>
      <c r="U544" s="44"/>
      <c r="V544" s="44"/>
      <c r="W544" s="44"/>
      <c r="X544" s="121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</row>
    <row r="545">
      <c r="A545" s="44"/>
      <c r="B545" s="44"/>
      <c r="C545" s="44"/>
      <c r="D545" s="118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120"/>
      <c r="U545" s="44"/>
      <c r="V545" s="44"/>
      <c r="W545" s="44"/>
      <c r="X545" s="121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</row>
    <row r="546">
      <c r="A546" s="44"/>
      <c r="B546" s="44"/>
      <c r="C546" s="44"/>
      <c r="D546" s="118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120"/>
      <c r="U546" s="44"/>
      <c r="V546" s="44"/>
      <c r="W546" s="44"/>
      <c r="X546" s="121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</row>
    <row r="547">
      <c r="A547" s="44"/>
      <c r="B547" s="44"/>
      <c r="C547" s="44"/>
      <c r="D547" s="118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120"/>
      <c r="U547" s="44"/>
      <c r="V547" s="44"/>
      <c r="W547" s="44"/>
      <c r="X547" s="121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</row>
    <row r="548">
      <c r="A548" s="44"/>
      <c r="B548" s="44"/>
      <c r="C548" s="44"/>
      <c r="D548" s="118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120"/>
      <c r="U548" s="44"/>
      <c r="V548" s="44"/>
      <c r="W548" s="44"/>
      <c r="X548" s="121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</row>
    <row r="549">
      <c r="A549" s="44"/>
      <c r="B549" s="44"/>
      <c r="C549" s="44"/>
      <c r="D549" s="118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120"/>
      <c r="U549" s="44"/>
      <c r="V549" s="44"/>
      <c r="W549" s="44"/>
      <c r="X549" s="121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</row>
    <row r="550">
      <c r="A550" s="44"/>
      <c r="B550" s="44"/>
      <c r="C550" s="44"/>
      <c r="D550" s="118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120"/>
      <c r="U550" s="44"/>
      <c r="V550" s="44"/>
      <c r="W550" s="44"/>
      <c r="X550" s="121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</row>
    <row r="551">
      <c r="A551" s="44"/>
      <c r="B551" s="44"/>
      <c r="C551" s="44"/>
      <c r="D551" s="118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120"/>
      <c r="U551" s="44"/>
      <c r="V551" s="44"/>
      <c r="W551" s="44"/>
      <c r="X551" s="121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</row>
    <row r="552">
      <c r="A552" s="44"/>
      <c r="B552" s="44"/>
      <c r="C552" s="44"/>
      <c r="D552" s="118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120"/>
      <c r="U552" s="44"/>
      <c r="V552" s="44"/>
      <c r="W552" s="44"/>
      <c r="X552" s="121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</row>
    <row r="553">
      <c r="A553" s="44"/>
      <c r="B553" s="44"/>
      <c r="C553" s="44"/>
      <c r="D553" s="118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120"/>
      <c r="U553" s="44"/>
      <c r="V553" s="44"/>
      <c r="W553" s="44"/>
      <c r="X553" s="121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</row>
    <row r="554">
      <c r="A554" s="44"/>
      <c r="B554" s="44"/>
      <c r="C554" s="44"/>
      <c r="D554" s="118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120"/>
      <c r="U554" s="44"/>
      <c r="V554" s="44"/>
      <c r="W554" s="44"/>
      <c r="X554" s="121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</row>
    <row r="555">
      <c r="A555" s="44"/>
      <c r="B555" s="44"/>
      <c r="C555" s="44"/>
      <c r="D555" s="118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120"/>
      <c r="U555" s="44"/>
      <c r="V555" s="44"/>
      <c r="W555" s="44"/>
      <c r="X555" s="121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</row>
    <row r="556">
      <c r="A556" s="44"/>
      <c r="B556" s="44"/>
      <c r="C556" s="44"/>
      <c r="D556" s="118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120"/>
      <c r="U556" s="44"/>
      <c r="V556" s="44"/>
      <c r="W556" s="44"/>
      <c r="X556" s="121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</row>
    <row r="557">
      <c r="A557" s="44"/>
      <c r="B557" s="44"/>
      <c r="C557" s="44"/>
      <c r="D557" s="118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120"/>
      <c r="U557" s="44"/>
      <c r="V557" s="44"/>
      <c r="W557" s="44"/>
      <c r="X557" s="121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</row>
    <row r="558">
      <c r="A558" s="44"/>
      <c r="B558" s="44"/>
      <c r="C558" s="44"/>
      <c r="D558" s="118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120"/>
      <c r="U558" s="44"/>
      <c r="V558" s="44"/>
      <c r="W558" s="44"/>
      <c r="X558" s="121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</row>
    <row r="559">
      <c r="A559" s="44"/>
      <c r="B559" s="44"/>
      <c r="C559" s="44"/>
      <c r="D559" s="118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120"/>
      <c r="U559" s="44"/>
      <c r="V559" s="44"/>
      <c r="W559" s="44"/>
      <c r="X559" s="121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</row>
    <row r="560">
      <c r="A560" s="44"/>
      <c r="B560" s="44"/>
      <c r="C560" s="44"/>
      <c r="D560" s="118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120"/>
      <c r="U560" s="44"/>
      <c r="V560" s="44"/>
      <c r="W560" s="44"/>
      <c r="X560" s="121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</row>
    <row r="561">
      <c r="A561" s="44"/>
      <c r="B561" s="44"/>
      <c r="C561" s="44"/>
      <c r="D561" s="118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120"/>
      <c r="U561" s="44"/>
      <c r="V561" s="44"/>
      <c r="W561" s="44"/>
      <c r="X561" s="121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</row>
    <row r="562">
      <c r="A562" s="44"/>
      <c r="B562" s="44"/>
      <c r="C562" s="44"/>
      <c r="D562" s="118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120"/>
      <c r="U562" s="44"/>
      <c r="V562" s="44"/>
      <c r="W562" s="44"/>
      <c r="X562" s="121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</row>
    <row r="563">
      <c r="A563" s="44"/>
      <c r="B563" s="44"/>
      <c r="C563" s="44"/>
      <c r="D563" s="118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120"/>
      <c r="U563" s="44"/>
      <c r="V563" s="44"/>
      <c r="W563" s="44"/>
      <c r="X563" s="121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</row>
    <row r="564">
      <c r="A564" s="44"/>
      <c r="B564" s="44"/>
      <c r="C564" s="44"/>
      <c r="D564" s="118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120"/>
      <c r="U564" s="44"/>
      <c r="V564" s="44"/>
      <c r="W564" s="44"/>
      <c r="X564" s="121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</row>
    <row r="565">
      <c r="A565" s="44"/>
      <c r="B565" s="44"/>
      <c r="C565" s="44"/>
      <c r="D565" s="118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120"/>
      <c r="U565" s="44"/>
      <c r="V565" s="44"/>
      <c r="W565" s="44"/>
      <c r="X565" s="121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</row>
    <row r="566">
      <c r="A566" s="44"/>
      <c r="B566" s="44"/>
      <c r="C566" s="44"/>
      <c r="D566" s="118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120"/>
      <c r="U566" s="44"/>
      <c r="V566" s="44"/>
      <c r="W566" s="44"/>
      <c r="X566" s="121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</row>
    <row r="567">
      <c r="A567" s="44"/>
      <c r="B567" s="44"/>
      <c r="C567" s="44"/>
      <c r="D567" s="118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120"/>
      <c r="U567" s="44"/>
      <c r="V567" s="44"/>
      <c r="W567" s="44"/>
      <c r="X567" s="121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</row>
    <row r="568">
      <c r="A568" s="44"/>
      <c r="B568" s="44"/>
      <c r="C568" s="44"/>
      <c r="D568" s="118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120"/>
      <c r="U568" s="44"/>
      <c r="V568" s="44"/>
      <c r="W568" s="44"/>
      <c r="X568" s="121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</row>
    <row r="569">
      <c r="A569" s="44"/>
      <c r="B569" s="44"/>
      <c r="C569" s="44"/>
      <c r="D569" s="118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120"/>
      <c r="U569" s="44"/>
      <c r="V569" s="44"/>
      <c r="W569" s="44"/>
      <c r="X569" s="121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</row>
    <row r="570">
      <c r="A570" s="44"/>
      <c r="B570" s="44"/>
      <c r="C570" s="44"/>
      <c r="D570" s="118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120"/>
      <c r="U570" s="44"/>
      <c r="V570" s="44"/>
      <c r="W570" s="44"/>
      <c r="X570" s="121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</row>
    <row r="571">
      <c r="A571" s="44"/>
      <c r="B571" s="44"/>
      <c r="C571" s="44"/>
      <c r="D571" s="118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120"/>
      <c r="U571" s="44"/>
      <c r="V571" s="44"/>
      <c r="W571" s="44"/>
      <c r="X571" s="121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</row>
    <row r="572">
      <c r="A572" s="44"/>
      <c r="B572" s="44"/>
      <c r="C572" s="44"/>
      <c r="D572" s="118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120"/>
      <c r="U572" s="44"/>
      <c r="V572" s="44"/>
      <c r="W572" s="44"/>
      <c r="X572" s="121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</row>
    <row r="573">
      <c r="A573" s="44"/>
      <c r="B573" s="44"/>
      <c r="C573" s="44"/>
      <c r="D573" s="118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120"/>
      <c r="U573" s="44"/>
      <c r="V573" s="44"/>
      <c r="W573" s="44"/>
      <c r="X573" s="121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</row>
    <row r="574">
      <c r="A574" s="44"/>
      <c r="B574" s="44"/>
      <c r="C574" s="44"/>
      <c r="D574" s="118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120"/>
      <c r="U574" s="44"/>
      <c r="V574" s="44"/>
      <c r="W574" s="44"/>
      <c r="X574" s="121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</row>
    <row r="575">
      <c r="A575" s="44"/>
      <c r="B575" s="44"/>
      <c r="C575" s="44"/>
      <c r="D575" s="118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120"/>
      <c r="U575" s="44"/>
      <c r="V575" s="44"/>
      <c r="W575" s="44"/>
      <c r="X575" s="121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</row>
    <row r="576">
      <c r="A576" s="44"/>
      <c r="B576" s="44"/>
      <c r="C576" s="44"/>
      <c r="D576" s="118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120"/>
      <c r="U576" s="44"/>
      <c r="V576" s="44"/>
      <c r="W576" s="44"/>
      <c r="X576" s="121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</row>
    <row r="577">
      <c r="A577" s="44"/>
      <c r="B577" s="44"/>
      <c r="C577" s="44"/>
      <c r="D577" s="118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120"/>
      <c r="U577" s="44"/>
      <c r="V577" s="44"/>
      <c r="W577" s="44"/>
      <c r="X577" s="121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</row>
    <row r="578">
      <c r="A578" s="44"/>
      <c r="B578" s="44"/>
      <c r="C578" s="44"/>
      <c r="D578" s="118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120"/>
      <c r="U578" s="44"/>
      <c r="V578" s="44"/>
      <c r="W578" s="44"/>
      <c r="X578" s="121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</row>
    <row r="579">
      <c r="A579" s="44"/>
      <c r="B579" s="44"/>
      <c r="C579" s="44"/>
      <c r="D579" s="118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120"/>
      <c r="U579" s="44"/>
      <c r="V579" s="44"/>
      <c r="W579" s="44"/>
      <c r="X579" s="121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</row>
    <row r="580">
      <c r="A580" s="44"/>
      <c r="B580" s="44"/>
      <c r="C580" s="44"/>
      <c r="D580" s="118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120"/>
      <c r="U580" s="44"/>
      <c r="V580" s="44"/>
      <c r="W580" s="44"/>
      <c r="X580" s="121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</row>
    <row r="581">
      <c r="A581" s="44"/>
      <c r="B581" s="44"/>
      <c r="C581" s="44"/>
      <c r="D581" s="118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120"/>
      <c r="U581" s="44"/>
      <c r="V581" s="44"/>
      <c r="W581" s="44"/>
      <c r="X581" s="121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</row>
    <row r="582">
      <c r="A582" s="44"/>
      <c r="B582" s="44"/>
      <c r="C582" s="44"/>
      <c r="D582" s="118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120"/>
      <c r="U582" s="44"/>
      <c r="V582" s="44"/>
      <c r="W582" s="44"/>
      <c r="X582" s="121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</row>
    <row r="583">
      <c r="A583" s="44"/>
      <c r="B583" s="44"/>
      <c r="C583" s="44"/>
      <c r="D583" s="118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120"/>
      <c r="U583" s="44"/>
      <c r="V583" s="44"/>
      <c r="W583" s="44"/>
      <c r="X583" s="121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</row>
    <row r="584">
      <c r="A584" s="44"/>
      <c r="B584" s="44"/>
      <c r="C584" s="44"/>
      <c r="D584" s="118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120"/>
      <c r="U584" s="44"/>
      <c r="V584" s="44"/>
      <c r="W584" s="44"/>
      <c r="X584" s="121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</row>
    <row r="585">
      <c r="A585" s="44"/>
      <c r="B585" s="44"/>
      <c r="C585" s="44"/>
      <c r="D585" s="118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120"/>
      <c r="U585" s="44"/>
      <c r="V585" s="44"/>
      <c r="W585" s="44"/>
      <c r="X585" s="121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</row>
    <row r="586">
      <c r="A586" s="44"/>
      <c r="B586" s="44"/>
      <c r="C586" s="44"/>
      <c r="D586" s="118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120"/>
      <c r="U586" s="44"/>
      <c r="V586" s="44"/>
      <c r="W586" s="44"/>
      <c r="X586" s="121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</row>
    <row r="587">
      <c r="A587" s="44"/>
      <c r="B587" s="44"/>
      <c r="C587" s="44"/>
      <c r="D587" s="118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120"/>
      <c r="U587" s="44"/>
      <c r="V587" s="44"/>
      <c r="W587" s="44"/>
      <c r="X587" s="121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</row>
    <row r="588">
      <c r="A588" s="44"/>
      <c r="B588" s="44"/>
      <c r="C588" s="44"/>
      <c r="D588" s="118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120"/>
      <c r="U588" s="44"/>
      <c r="V588" s="44"/>
      <c r="W588" s="44"/>
      <c r="X588" s="121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</row>
    <row r="589">
      <c r="A589" s="44"/>
      <c r="B589" s="44"/>
      <c r="C589" s="44"/>
      <c r="D589" s="118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120"/>
      <c r="U589" s="44"/>
      <c r="V589" s="44"/>
      <c r="W589" s="44"/>
      <c r="X589" s="121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</row>
    <row r="590">
      <c r="A590" s="44"/>
      <c r="B590" s="44"/>
      <c r="C590" s="44"/>
      <c r="D590" s="118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120"/>
      <c r="U590" s="44"/>
      <c r="V590" s="44"/>
      <c r="W590" s="44"/>
      <c r="X590" s="121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</row>
    <row r="591">
      <c r="A591" s="44"/>
      <c r="B591" s="44"/>
      <c r="C591" s="44"/>
      <c r="D591" s="118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120"/>
      <c r="U591" s="44"/>
      <c r="V591" s="44"/>
      <c r="W591" s="44"/>
      <c r="X591" s="121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</row>
    <row r="592">
      <c r="A592" s="44"/>
      <c r="B592" s="44"/>
      <c r="C592" s="44"/>
      <c r="D592" s="118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120"/>
      <c r="U592" s="44"/>
      <c r="V592" s="44"/>
      <c r="W592" s="44"/>
      <c r="X592" s="121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</row>
    <row r="593">
      <c r="A593" s="44"/>
      <c r="B593" s="44"/>
      <c r="C593" s="44"/>
      <c r="D593" s="118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120"/>
      <c r="U593" s="44"/>
      <c r="V593" s="44"/>
      <c r="W593" s="44"/>
      <c r="X593" s="121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</row>
    <row r="594">
      <c r="A594" s="44"/>
      <c r="B594" s="44"/>
      <c r="C594" s="44"/>
      <c r="D594" s="118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120"/>
      <c r="U594" s="44"/>
      <c r="V594" s="44"/>
      <c r="W594" s="44"/>
      <c r="X594" s="121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</row>
    <row r="595">
      <c r="A595" s="44"/>
      <c r="B595" s="44"/>
      <c r="C595" s="44"/>
      <c r="D595" s="118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120"/>
      <c r="U595" s="44"/>
      <c r="V595" s="44"/>
      <c r="W595" s="44"/>
      <c r="X595" s="121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</row>
    <row r="596">
      <c r="A596" s="44"/>
      <c r="B596" s="44"/>
      <c r="C596" s="44"/>
      <c r="D596" s="118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120"/>
      <c r="U596" s="44"/>
      <c r="V596" s="44"/>
      <c r="W596" s="44"/>
      <c r="X596" s="121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</row>
    <row r="597">
      <c r="A597" s="44"/>
      <c r="B597" s="44"/>
      <c r="C597" s="44"/>
      <c r="D597" s="118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120"/>
      <c r="U597" s="44"/>
      <c r="V597" s="44"/>
      <c r="W597" s="44"/>
      <c r="X597" s="121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</row>
    <row r="598">
      <c r="A598" s="44"/>
      <c r="B598" s="44"/>
      <c r="C598" s="44"/>
      <c r="D598" s="118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120"/>
      <c r="U598" s="44"/>
      <c r="V598" s="44"/>
      <c r="W598" s="44"/>
      <c r="X598" s="121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</row>
    <row r="599">
      <c r="A599" s="44"/>
      <c r="B599" s="44"/>
      <c r="C599" s="44"/>
      <c r="D599" s="118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120"/>
      <c r="U599" s="44"/>
      <c r="V599" s="44"/>
      <c r="W599" s="44"/>
      <c r="X599" s="121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</row>
    <row r="600">
      <c r="A600" s="44"/>
      <c r="B600" s="44"/>
      <c r="C600" s="44"/>
      <c r="D600" s="118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120"/>
      <c r="U600" s="44"/>
      <c r="V600" s="44"/>
      <c r="W600" s="44"/>
      <c r="X600" s="121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</row>
    <row r="601">
      <c r="A601" s="44"/>
      <c r="B601" s="44"/>
      <c r="C601" s="44"/>
      <c r="D601" s="118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120"/>
      <c r="U601" s="44"/>
      <c r="V601" s="44"/>
      <c r="W601" s="44"/>
      <c r="X601" s="121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</row>
    <row r="602">
      <c r="A602" s="44"/>
      <c r="B602" s="44"/>
      <c r="C602" s="44"/>
      <c r="D602" s="118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120"/>
      <c r="U602" s="44"/>
      <c r="V602" s="44"/>
      <c r="W602" s="44"/>
      <c r="X602" s="121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</row>
    <row r="603">
      <c r="A603" s="44"/>
      <c r="B603" s="44"/>
      <c r="C603" s="44"/>
      <c r="D603" s="118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120"/>
      <c r="U603" s="44"/>
      <c r="V603" s="44"/>
      <c r="W603" s="44"/>
      <c r="X603" s="121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</row>
    <row r="604">
      <c r="A604" s="44"/>
      <c r="B604" s="44"/>
      <c r="C604" s="44"/>
      <c r="D604" s="118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120"/>
      <c r="U604" s="44"/>
      <c r="V604" s="44"/>
      <c r="W604" s="44"/>
      <c r="X604" s="121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</row>
    <row r="605">
      <c r="A605" s="44"/>
      <c r="B605" s="44"/>
      <c r="C605" s="44"/>
      <c r="D605" s="118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120"/>
      <c r="U605" s="44"/>
      <c r="V605" s="44"/>
      <c r="W605" s="44"/>
      <c r="X605" s="121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</row>
    <row r="606">
      <c r="A606" s="44"/>
      <c r="B606" s="44"/>
      <c r="C606" s="44"/>
      <c r="D606" s="118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120"/>
      <c r="U606" s="44"/>
      <c r="V606" s="44"/>
      <c r="W606" s="44"/>
      <c r="X606" s="121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</row>
    <row r="607">
      <c r="A607" s="44"/>
      <c r="B607" s="44"/>
      <c r="C607" s="44"/>
      <c r="D607" s="118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120"/>
      <c r="U607" s="44"/>
      <c r="V607" s="44"/>
      <c r="W607" s="44"/>
      <c r="X607" s="121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</row>
    <row r="608">
      <c r="A608" s="44"/>
      <c r="B608" s="44"/>
      <c r="C608" s="44"/>
      <c r="D608" s="118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120"/>
      <c r="U608" s="44"/>
      <c r="V608" s="44"/>
      <c r="W608" s="44"/>
      <c r="X608" s="121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</row>
    <row r="609">
      <c r="A609" s="44"/>
      <c r="B609" s="44"/>
      <c r="C609" s="44"/>
      <c r="D609" s="118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120"/>
      <c r="U609" s="44"/>
      <c r="V609" s="44"/>
      <c r="W609" s="44"/>
      <c r="X609" s="121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</row>
    <row r="610">
      <c r="A610" s="44"/>
      <c r="B610" s="44"/>
      <c r="C610" s="44"/>
      <c r="D610" s="118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120"/>
      <c r="U610" s="44"/>
      <c r="V610" s="44"/>
      <c r="W610" s="44"/>
      <c r="X610" s="121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</row>
    <row r="611">
      <c r="A611" s="44"/>
      <c r="B611" s="44"/>
      <c r="C611" s="44"/>
      <c r="D611" s="118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120"/>
      <c r="U611" s="44"/>
      <c r="V611" s="44"/>
      <c r="W611" s="44"/>
      <c r="X611" s="121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</row>
    <row r="612">
      <c r="A612" s="44"/>
      <c r="B612" s="44"/>
      <c r="C612" s="44"/>
      <c r="D612" s="118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120"/>
      <c r="U612" s="44"/>
      <c r="V612" s="44"/>
      <c r="W612" s="44"/>
      <c r="X612" s="121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</row>
    <row r="613">
      <c r="A613" s="44"/>
      <c r="B613" s="44"/>
      <c r="C613" s="44"/>
      <c r="D613" s="118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120"/>
      <c r="U613" s="44"/>
      <c r="V613" s="44"/>
      <c r="W613" s="44"/>
      <c r="X613" s="121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</row>
    <row r="614">
      <c r="A614" s="44"/>
      <c r="B614" s="44"/>
      <c r="C614" s="44"/>
      <c r="D614" s="118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120"/>
      <c r="U614" s="44"/>
      <c r="V614" s="44"/>
      <c r="W614" s="44"/>
      <c r="X614" s="121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</row>
    <row r="615">
      <c r="A615" s="44"/>
      <c r="B615" s="44"/>
      <c r="C615" s="44"/>
      <c r="D615" s="118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120"/>
      <c r="U615" s="44"/>
      <c r="V615" s="44"/>
      <c r="W615" s="44"/>
      <c r="X615" s="121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</row>
    <row r="616">
      <c r="A616" s="44"/>
      <c r="B616" s="44"/>
      <c r="C616" s="44"/>
      <c r="D616" s="118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120"/>
      <c r="U616" s="44"/>
      <c r="V616" s="44"/>
      <c r="W616" s="44"/>
      <c r="X616" s="121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</row>
    <row r="617">
      <c r="A617" s="44"/>
      <c r="B617" s="44"/>
      <c r="C617" s="44"/>
      <c r="D617" s="118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120"/>
      <c r="U617" s="44"/>
      <c r="V617" s="44"/>
      <c r="W617" s="44"/>
      <c r="X617" s="121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</row>
    <row r="618">
      <c r="A618" s="44"/>
      <c r="B618" s="44"/>
      <c r="C618" s="44"/>
      <c r="D618" s="118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120"/>
      <c r="U618" s="44"/>
      <c r="V618" s="44"/>
      <c r="W618" s="44"/>
      <c r="X618" s="121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</row>
    <row r="619">
      <c r="A619" s="44"/>
      <c r="B619" s="44"/>
      <c r="C619" s="44"/>
      <c r="D619" s="118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120"/>
      <c r="U619" s="44"/>
      <c r="V619" s="44"/>
      <c r="W619" s="44"/>
      <c r="X619" s="121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</row>
    <row r="620">
      <c r="A620" s="44"/>
      <c r="B620" s="44"/>
      <c r="C620" s="44"/>
      <c r="D620" s="118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120"/>
      <c r="U620" s="44"/>
      <c r="V620" s="44"/>
      <c r="W620" s="44"/>
      <c r="X620" s="121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</row>
    <row r="621">
      <c r="A621" s="44"/>
      <c r="B621" s="44"/>
      <c r="C621" s="44"/>
      <c r="D621" s="118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120"/>
      <c r="U621" s="44"/>
      <c r="V621" s="44"/>
      <c r="W621" s="44"/>
      <c r="X621" s="121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</row>
    <row r="622">
      <c r="A622" s="44"/>
      <c r="B622" s="44"/>
      <c r="C622" s="44"/>
      <c r="D622" s="118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120"/>
      <c r="U622" s="44"/>
      <c r="V622" s="44"/>
      <c r="W622" s="44"/>
      <c r="X622" s="121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</row>
    <row r="623">
      <c r="A623" s="44"/>
      <c r="B623" s="44"/>
      <c r="C623" s="44"/>
      <c r="D623" s="118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120"/>
      <c r="U623" s="44"/>
      <c r="V623" s="44"/>
      <c r="W623" s="44"/>
      <c r="X623" s="121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</row>
    <row r="624">
      <c r="A624" s="44"/>
      <c r="B624" s="44"/>
      <c r="C624" s="44"/>
      <c r="D624" s="118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120"/>
      <c r="U624" s="44"/>
      <c r="V624" s="44"/>
      <c r="W624" s="44"/>
      <c r="X624" s="121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</row>
    <row r="625">
      <c r="A625" s="44"/>
      <c r="B625" s="44"/>
      <c r="C625" s="44"/>
      <c r="D625" s="118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120"/>
      <c r="U625" s="44"/>
      <c r="V625" s="44"/>
      <c r="W625" s="44"/>
      <c r="X625" s="121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</row>
    <row r="626">
      <c r="A626" s="44"/>
      <c r="B626" s="44"/>
      <c r="C626" s="44"/>
      <c r="D626" s="118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120"/>
      <c r="U626" s="44"/>
      <c r="V626" s="44"/>
      <c r="W626" s="44"/>
      <c r="X626" s="121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</row>
    <row r="627">
      <c r="A627" s="44"/>
      <c r="B627" s="44"/>
      <c r="C627" s="44"/>
      <c r="D627" s="118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120"/>
      <c r="U627" s="44"/>
      <c r="V627" s="44"/>
      <c r="W627" s="44"/>
      <c r="X627" s="121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</row>
    <row r="628">
      <c r="A628" s="44"/>
      <c r="B628" s="44"/>
      <c r="C628" s="44"/>
      <c r="D628" s="118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120"/>
      <c r="U628" s="44"/>
      <c r="V628" s="44"/>
      <c r="W628" s="44"/>
      <c r="X628" s="121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</row>
    <row r="629">
      <c r="A629" s="44"/>
      <c r="B629" s="44"/>
      <c r="C629" s="44"/>
      <c r="D629" s="118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120"/>
      <c r="U629" s="44"/>
      <c r="V629" s="44"/>
      <c r="W629" s="44"/>
      <c r="X629" s="121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</row>
    <row r="630">
      <c r="A630" s="44"/>
      <c r="B630" s="44"/>
      <c r="C630" s="44"/>
      <c r="D630" s="118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120"/>
      <c r="U630" s="44"/>
      <c r="V630" s="44"/>
      <c r="W630" s="44"/>
      <c r="X630" s="121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</row>
    <row r="631">
      <c r="A631" s="44"/>
      <c r="B631" s="44"/>
      <c r="C631" s="44"/>
      <c r="D631" s="118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120"/>
      <c r="U631" s="44"/>
      <c r="V631" s="44"/>
      <c r="W631" s="44"/>
      <c r="X631" s="121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</row>
    <row r="632">
      <c r="A632" s="44"/>
      <c r="B632" s="44"/>
      <c r="C632" s="44"/>
      <c r="D632" s="118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120"/>
      <c r="U632" s="44"/>
      <c r="V632" s="44"/>
      <c r="W632" s="44"/>
      <c r="X632" s="121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</row>
    <row r="633">
      <c r="A633" s="44"/>
      <c r="B633" s="44"/>
      <c r="C633" s="44"/>
      <c r="D633" s="118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120"/>
      <c r="U633" s="44"/>
      <c r="V633" s="44"/>
      <c r="W633" s="44"/>
      <c r="X633" s="121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</row>
    <row r="634">
      <c r="A634" s="44"/>
      <c r="B634" s="44"/>
      <c r="C634" s="44"/>
      <c r="D634" s="118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120"/>
      <c r="U634" s="44"/>
      <c r="V634" s="44"/>
      <c r="W634" s="44"/>
      <c r="X634" s="121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</row>
    <row r="635">
      <c r="A635" s="44"/>
      <c r="B635" s="44"/>
      <c r="C635" s="44"/>
      <c r="D635" s="118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120"/>
      <c r="U635" s="44"/>
      <c r="V635" s="44"/>
      <c r="W635" s="44"/>
      <c r="X635" s="121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</row>
    <row r="636">
      <c r="A636" s="44"/>
      <c r="B636" s="44"/>
      <c r="C636" s="44"/>
      <c r="D636" s="118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120"/>
      <c r="U636" s="44"/>
      <c r="V636" s="44"/>
      <c r="W636" s="44"/>
      <c r="X636" s="121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</row>
    <row r="637">
      <c r="A637" s="44"/>
      <c r="B637" s="44"/>
      <c r="C637" s="44"/>
      <c r="D637" s="118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120"/>
      <c r="U637" s="44"/>
      <c r="V637" s="44"/>
      <c r="W637" s="44"/>
      <c r="X637" s="121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</row>
    <row r="638">
      <c r="A638" s="44"/>
      <c r="B638" s="44"/>
      <c r="C638" s="44"/>
      <c r="D638" s="118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120"/>
      <c r="U638" s="44"/>
      <c r="V638" s="44"/>
      <c r="W638" s="44"/>
      <c r="X638" s="121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</row>
    <row r="639">
      <c r="A639" s="44"/>
      <c r="B639" s="44"/>
      <c r="C639" s="44"/>
      <c r="D639" s="118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120"/>
      <c r="U639" s="44"/>
      <c r="V639" s="44"/>
      <c r="W639" s="44"/>
      <c r="X639" s="121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</row>
    <row r="640">
      <c r="A640" s="44"/>
      <c r="B640" s="44"/>
      <c r="C640" s="44"/>
      <c r="D640" s="118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120"/>
      <c r="U640" s="44"/>
      <c r="V640" s="44"/>
      <c r="W640" s="44"/>
      <c r="X640" s="121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</row>
    <row r="641">
      <c r="A641" s="44"/>
      <c r="B641" s="44"/>
      <c r="C641" s="44"/>
      <c r="D641" s="118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120"/>
      <c r="U641" s="44"/>
      <c r="V641" s="44"/>
      <c r="W641" s="44"/>
      <c r="X641" s="121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</row>
    <row r="642">
      <c r="A642" s="44"/>
      <c r="B642" s="44"/>
      <c r="C642" s="44"/>
      <c r="D642" s="118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120"/>
      <c r="U642" s="44"/>
      <c r="V642" s="44"/>
      <c r="W642" s="44"/>
      <c r="X642" s="121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</row>
    <row r="643">
      <c r="A643" s="44"/>
      <c r="B643" s="44"/>
      <c r="C643" s="44"/>
      <c r="D643" s="118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120"/>
      <c r="U643" s="44"/>
      <c r="V643" s="44"/>
      <c r="W643" s="44"/>
      <c r="X643" s="121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</row>
    <row r="644">
      <c r="A644" s="44"/>
      <c r="B644" s="44"/>
      <c r="C644" s="44"/>
      <c r="D644" s="118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120"/>
      <c r="U644" s="44"/>
      <c r="V644" s="44"/>
      <c r="W644" s="44"/>
      <c r="X644" s="121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</row>
    <row r="645">
      <c r="A645" s="44"/>
      <c r="B645" s="44"/>
      <c r="C645" s="44"/>
      <c r="D645" s="118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120"/>
      <c r="U645" s="44"/>
      <c r="V645" s="44"/>
      <c r="W645" s="44"/>
      <c r="X645" s="121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</row>
    <row r="646">
      <c r="A646" s="44"/>
      <c r="B646" s="44"/>
      <c r="C646" s="44"/>
      <c r="D646" s="118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120"/>
      <c r="U646" s="44"/>
      <c r="V646" s="44"/>
      <c r="W646" s="44"/>
      <c r="X646" s="121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</row>
    <row r="647">
      <c r="A647" s="44"/>
      <c r="B647" s="44"/>
      <c r="C647" s="44"/>
      <c r="D647" s="118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120"/>
      <c r="U647" s="44"/>
      <c r="V647" s="44"/>
      <c r="W647" s="44"/>
      <c r="X647" s="121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</row>
    <row r="648">
      <c r="A648" s="44"/>
      <c r="B648" s="44"/>
      <c r="C648" s="44"/>
      <c r="D648" s="118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120"/>
      <c r="U648" s="44"/>
      <c r="V648" s="44"/>
      <c r="W648" s="44"/>
      <c r="X648" s="121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</row>
    <row r="649">
      <c r="A649" s="44"/>
      <c r="B649" s="44"/>
      <c r="C649" s="44"/>
      <c r="D649" s="118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120"/>
      <c r="U649" s="44"/>
      <c r="V649" s="44"/>
      <c r="W649" s="44"/>
      <c r="X649" s="121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</row>
    <row r="650">
      <c r="A650" s="44"/>
      <c r="B650" s="44"/>
      <c r="C650" s="44"/>
      <c r="D650" s="118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120"/>
      <c r="U650" s="44"/>
      <c r="V650" s="44"/>
      <c r="W650" s="44"/>
      <c r="X650" s="121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</row>
    <row r="651">
      <c r="A651" s="44"/>
      <c r="B651" s="44"/>
      <c r="C651" s="44"/>
      <c r="D651" s="118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120"/>
      <c r="U651" s="44"/>
      <c r="V651" s="44"/>
      <c r="W651" s="44"/>
      <c r="X651" s="121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</row>
    <row r="652">
      <c r="A652" s="44"/>
      <c r="B652" s="44"/>
      <c r="C652" s="44"/>
      <c r="D652" s="118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120"/>
      <c r="U652" s="44"/>
      <c r="V652" s="44"/>
      <c r="W652" s="44"/>
      <c r="X652" s="121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</row>
    <row r="653">
      <c r="A653" s="44"/>
      <c r="B653" s="44"/>
      <c r="C653" s="44"/>
      <c r="D653" s="118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120"/>
      <c r="U653" s="44"/>
      <c r="V653" s="44"/>
      <c r="W653" s="44"/>
      <c r="X653" s="121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</row>
    <row r="654">
      <c r="A654" s="44"/>
      <c r="B654" s="44"/>
      <c r="C654" s="44"/>
      <c r="D654" s="118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120"/>
      <c r="U654" s="44"/>
      <c r="V654" s="44"/>
      <c r="W654" s="44"/>
      <c r="X654" s="121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</row>
    <row r="655">
      <c r="A655" s="44"/>
      <c r="B655" s="44"/>
      <c r="C655" s="44"/>
      <c r="D655" s="118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120"/>
      <c r="U655" s="44"/>
      <c r="V655" s="44"/>
      <c r="W655" s="44"/>
      <c r="X655" s="121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</row>
    <row r="656">
      <c r="A656" s="44"/>
      <c r="B656" s="44"/>
      <c r="C656" s="44"/>
      <c r="D656" s="118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120"/>
      <c r="U656" s="44"/>
      <c r="V656" s="44"/>
      <c r="W656" s="44"/>
      <c r="X656" s="121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</row>
    <row r="657">
      <c r="A657" s="44"/>
      <c r="B657" s="44"/>
      <c r="C657" s="44"/>
      <c r="D657" s="118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120"/>
      <c r="U657" s="44"/>
      <c r="V657" s="44"/>
      <c r="W657" s="44"/>
      <c r="X657" s="121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</row>
    <row r="658">
      <c r="A658" s="44"/>
      <c r="B658" s="44"/>
      <c r="C658" s="44"/>
      <c r="D658" s="118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120"/>
      <c r="U658" s="44"/>
      <c r="V658" s="44"/>
      <c r="W658" s="44"/>
      <c r="X658" s="121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</row>
    <row r="659">
      <c r="A659" s="44"/>
      <c r="B659" s="44"/>
      <c r="C659" s="44"/>
      <c r="D659" s="118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120"/>
      <c r="U659" s="44"/>
      <c r="V659" s="44"/>
      <c r="W659" s="44"/>
      <c r="X659" s="121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</row>
    <row r="660">
      <c r="A660" s="44"/>
      <c r="B660" s="44"/>
      <c r="C660" s="44"/>
      <c r="D660" s="118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120"/>
      <c r="U660" s="44"/>
      <c r="V660" s="44"/>
      <c r="W660" s="44"/>
      <c r="X660" s="121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</row>
    <row r="661">
      <c r="A661" s="44"/>
      <c r="B661" s="44"/>
      <c r="C661" s="44"/>
      <c r="D661" s="118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120"/>
      <c r="U661" s="44"/>
      <c r="V661" s="44"/>
      <c r="W661" s="44"/>
      <c r="X661" s="121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</row>
    <row r="662">
      <c r="A662" s="44"/>
      <c r="B662" s="44"/>
      <c r="C662" s="44"/>
      <c r="D662" s="118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120"/>
      <c r="U662" s="44"/>
      <c r="V662" s="44"/>
      <c r="W662" s="44"/>
      <c r="X662" s="121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</row>
    <row r="663">
      <c r="A663" s="44"/>
      <c r="B663" s="44"/>
      <c r="C663" s="44"/>
      <c r="D663" s="118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120"/>
      <c r="U663" s="44"/>
      <c r="V663" s="44"/>
      <c r="W663" s="44"/>
      <c r="X663" s="121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</row>
    <row r="664">
      <c r="A664" s="44"/>
      <c r="B664" s="44"/>
      <c r="C664" s="44"/>
      <c r="D664" s="118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120"/>
      <c r="U664" s="44"/>
      <c r="V664" s="44"/>
      <c r="W664" s="44"/>
      <c r="X664" s="121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</row>
    <row r="665">
      <c r="A665" s="44"/>
      <c r="B665" s="44"/>
      <c r="C665" s="44"/>
      <c r="D665" s="118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120"/>
      <c r="U665" s="44"/>
      <c r="V665" s="44"/>
      <c r="W665" s="44"/>
      <c r="X665" s="121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</row>
    <row r="666">
      <c r="A666" s="44"/>
      <c r="B666" s="44"/>
      <c r="C666" s="44"/>
      <c r="D666" s="118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120"/>
      <c r="U666" s="44"/>
      <c r="V666" s="44"/>
      <c r="W666" s="44"/>
      <c r="X666" s="121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</row>
    <row r="667">
      <c r="A667" s="44"/>
      <c r="B667" s="44"/>
      <c r="C667" s="44"/>
      <c r="D667" s="118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120"/>
      <c r="U667" s="44"/>
      <c r="V667" s="44"/>
      <c r="W667" s="44"/>
      <c r="X667" s="121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</row>
    <row r="668">
      <c r="A668" s="44"/>
      <c r="B668" s="44"/>
      <c r="C668" s="44"/>
      <c r="D668" s="118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120"/>
      <c r="U668" s="44"/>
      <c r="V668" s="44"/>
      <c r="W668" s="44"/>
      <c r="X668" s="121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</row>
    <row r="669">
      <c r="A669" s="44"/>
      <c r="B669" s="44"/>
      <c r="C669" s="44"/>
      <c r="D669" s="118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120"/>
      <c r="U669" s="44"/>
      <c r="V669" s="44"/>
      <c r="W669" s="44"/>
      <c r="X669" s="121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</row>
    <row r="670">
      <c r="A670" s="44"/>
      <c r="B670" s="44"/>
      <c r="C670" s="44"/>
      <c r="D670" s="118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120"/>
      <c r="U670" s="44"/>
      <c r="V670" s="44"/>
      <c r="W670" s="44"/>
      <c r="X670" s="121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</row>
    <row r="671">
      <c r="A671" s="44"/>
      <c r="B671" s="44"/>
      <c r="C671" s="44"/>
      <c r="D671" s="118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120"/>
      <c r="U671" s="44"/>
      <c r="V671" s="44"/>
      <c r="W671" s="44"/>
      <c r="X671" s="121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</row>
    <row r="672">
      <c r="A672" s="44"/>
      <c r="B672" s="44"/>
      <c r="C672" s="44"/>
      <c r="D672" s="118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120"/>
      <c r="U672" s="44"/>
      <c r="V672" s="44"/>
      <c r="W672" s="44"/>
      <c r="X672" s="121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</row>
    <row r="673">
      <c r="A673" s="44"/>
      <c r="B673" s="44"/>
      <c r="C673" s="44"/>
      <c r="D673" s="118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120"/>
      <c r="U673" s="44"/>
      <c r="V673" s="44"/>
      <c r="W673" s="44"/>
      <c r="X673" s="121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</row>
    <row r="674">
      <c r="A674" s="44"/>
      <c r="B674" s="44"/>
      <c r="C674" s="44"/>
      <c r="D674" s="118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120"/>
      <c r="U674" s="44"/>
      <c r="V674" s="44"/>
      <c r="W674" s="44"/>
      <c r="X674" s="121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</row>
    <row r="675">
      <c r="A675" s="44"/>
      <c r="B675" s="44"/>
      <c r="C675" s="44"/>
      <c r="D675" s="118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120"/>
      <c r="U675" s="44"/>
      <c r="V675" s="44"/>
      <c r="W675" s="44"/>
      <c r="X675" s="121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</row>
    <row r="676">
      <c r="A676" s="44"/>
      <c r="B676" s="44"/>
      <c r="C676" s="44"/>
      <c r="D676" s="118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120"/>
      <c r="U676" s="44"/>
      <c r="V676" s="44"/>
      <c r="W676" s="44"/>
      <c r="X676" s="121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</row>
    <row r="677">
      <c r="A677" s="44"/>
      <c r="B677" s="44"/>
      <c r="C677" s="44"/>
      <c r="D677" s="118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120"/>
      <c r="U677" s="44"/>
      <c r="V677" s="44"/>
      <c r="W677" s="44"/>
      <c r="X677" s="121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</row>
    <row r="678">
      <c r="A678" s="44"/>
      <c r="B678" s="44"/>
      <c r="C678" s="44"/>
      <c r="D678" s="118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120"/>
      <c r="U678" s="44"/>
      <c r="V678" s="44"/>
      <c r="W678" s="44"/>
      <c r="X678" s="121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</row>
    <row r="679">
      <c r="A679" s="44"/>
      <c r="B679" s="44"/>
      <c r="C679" s="44"/>
      <c r="D679" s="118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120"/>
      <c r="U679" s="44"/>
      <c r="V679" s="44"/>
      <c r="W679" s="44"/>
      <c r="X679" s="121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</row>
    <row r="680">
      <c r="A680" s="44"/>
      <c r="B680" s="44"/>
      <c r="C680" s="44"/>
      <c r="D680" s="118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120"/>
      <c r="U680" s="44"/>
      <c r="V680" s="44"/>
      <c r="W680" s="44"/>
      <c r="X680" s="121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</row>
    <row r="681">
      <c r="A681" s="44"/>
      <c r="B681" s="44"/>
      <c r="C681" s="44"/>
      <c r="D681" s="118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120"/>
      <c r="U681" s="44"/>
      <c r="V681" s="44"/>
      <c r="W681" s="44"/>
      <c r="X681" s="121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</row>
    <row r="682">
      <c r="A682" s="44"/>
      <c r="B682" s="44"/>
      <c r="C682" s="44"/>
      <c r="D682" s="118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120"/>
      <c r="U682" s="44"/>
      <c r="V682" s="44"/>
      <c r="W682" s="44"/>
      <c r="X682" s="121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</row>
    <row r="683">
      <c r="A683" s="44"/>
      <c r="B683" s="44"/>
      <c r="C683" s="44"/>
      <c r="D683" s="118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120"/>
      <c r="U683" s="44"/>
      <c r="V683" s="44"/>
      <c r="W683" s="44"/>
      <c r="X683" s="121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</row>
    <row r="684">
      <c r="A684" s="44"/>
      <c r="B684" s="44"/>
      <c r="C684" s="44"/>
      <c r="D684" s="118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120"/>
      <c r="U684" s="44"/>
      <c r="V684" s="44"/>
      <c r="W684" s="44"/>
      <c r="X684" s="121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</row>
    <row r="685">
      <c r="A685" s="44"/>
      <c r="B685" s="44"/>
      <c r="C685" s="44"/>
      <c r="D685" s="118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120"/>
      <c r="U685" s="44"/>
      <c r="V685" s="44"/>
      <c r="W685" s="44"/>
      <c r="X685" s="121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</row>
    <row r="686">
      <c r="A686" s="44"/>
      <c r="B686" s="44"/>
      <c r="C686" s="44"/>
      <c r="D686" s="118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120"/>
      <c r="U686" s="44"/>
      <c r="V686" s="44"/>
      <c r="W686" s="44"/>
      <c r="X686" s="121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</row>
    <row r="687">
      <c r="A687" s="44"/>
      <c r="B687" s="44"/>
      <c r="C687" s="44"/>
      <c r="D687" s="118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120"/>
      <c r="U687" s="44"/>
      <c r="V687" s="44"/>
      <c r="W687" s="44"/>
      <c r="X687" s="121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</row>
    <row r="688">
      <c r="A688" s="44"/>
      <c r="B688" s="44"/>
      <c r="C688" s="44"/>
      <c r="D688" s="118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120"/>
      <c r="U688" s="44"/>
      <c r="V688" s="44"/>
      <c r="W688" s="44"/>
      <c r="X688" s="121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</row>
    <row r="689">
      <c r="A689" s="44"/>
      <c r="B689" s="44"/>
      <c r="C689" s="44"/>
      <c r="D689" s="118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120"/>
      <c r="U689" s="44"/>
      <c r="V689" s="44"/>
      <c r="W689" s="44"/>
      <c r="X689" s="121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</row>
    <row r="690">
      <c r="A690" s="44"/>
      <c r="B690" s="44"/>
      <c r="C690" s="44"/>
      <c r="D690" s="118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120"/>
      <c r="U690" s="44"/>
      <c r="V690" s="44"/>
      <c r="W690" s="44"/>
      <c r="X690" s="121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</row>
    <row r="691">
      <c r="A691" s="44"/>
      <c r="B691" s="44"/>
      <c r="C691" s="44"/>
      <c r="D691" s="118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120"/>
      <c r="U691" s="44"/>
      <c r="V691" s="44"/>
      <c r="W691" s="44"/>
      <c r="X691" s="121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</row>
    <row r="692">
      <c r="A692" s="44"/>
      <c r="B692" s="44"/>
      <c r="C692" s="44"/>
      <c r="D692" s="118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120"/>
      <c r="U692" s="44"/>
      <c r="V692" s="44"/>
      <c r="W692" s="44"/>
      <c r="X692" s="121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</row>
    <row r="693">
      <c r="A693" s="44"/>
      <c r="B693" s="44"/>
      <c r="C693" s="44"/>
      <c r="D693" s="118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120"/>
      <c r="U693" s="44"/>
      <c r="V693" s="44"/>
      <c r="W693" s="44"/>
      <c r="X693" s="121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</row>
    <row r="694">
      <c r="A694" s="44"/>
      <c r="B694" s="44"/>
      <c r="C694" s="44"/>
      <c r="D694" s="118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120"/>
      <c r="U694" s="44"/>
      <c r="V694" s="44"/>
      <c r="W694" s="44"/>
      <c r="X694" s="121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</row>
    <row r="695">
      <c r="A695" s="44"/>
      <c r="B695" s="44"/>
      <c r="C695" s="44"/>
      <c r="D695" s="118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120"/>
      <c r="U695" s="44"/>
      <c r="V695" s="44"/>
      <c r="W695" s="44"/>
      <c r="X695" s="121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</row>
    <row r="696">
      <c r="A696" s="44"/>
      <c r="B696" s="44"/>
      <c r="C696" s="44"/>
      <c r="D696" s="118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120"/>
      <c r="U696" s="44"/>
      <c r="V696" s="44"/>
      <c r="W696" s="44"/>
      <c r="X696" s="121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</row>
    <row r="697">
      <c r="A697" s="44"/>
      <c r="B697" s="44"/>
      <c r="C697" s="44"/>
      <c r="D697" s="118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120"/>
      <c r="U697" s="44"/>
      <c r="V697" s="44"/>
      <c r="W697" s="44"/>
      <c r="X697" s="121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</row>
    <row r="698">
      <c r="A698" s="44"/>
      <c r="B698" s="44"/>
      <c r="C698" s="44"/>
      <c r="D698" s="118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120"/>
      <c r="U698" s="44"/>
      <c r="V698" s="44"/>
      <c r="W698" s="44"/>
      <c r="X698" s="121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</row>
    <row r="699">
      <c r="A699" s="44"/>
      <c r="B699" s="44"/>
      <c r="C699" s="44"/>
      <c r="D699" s="118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120"/>
      <c r="U699" s="44"/>
      <c r="V699" s="44"/>
      <c r="W699" s="44"/>
      <c r="X699" s="121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</row>
    <row r="700">
      <c r="A700" s="44"/>
      <c r="B700" s="44"/>
      <c r="C700" s="44"/>
      <c r="D700" s="118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120"/>
      <c r="U700" s="44"/>
      <c r="V700" s="44"/>
      <c r="W700" s="44"/>
      <c r="X700" s="121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</row>
    <row r="701">
      <c r="A701" s="44"/>
      <c r="B701" s="44"/>
      <c r="C701" s="44"/>
      <c r="D701" s="118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120"/>
      <c r="U701" s="44"/>
      <c r="V701" s="44"/>
      <c r="W701" s="44"/>
      <c r="X701" s="121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</row>
    <row r="702">
      <c r="A702" s="44"/>
      <c r="B702" s="44"/>
      <c r="C702" s="44"/>
      <c r="D702" s="118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120"/>
      <c r="U702" s="44"/>
      <c r="V702" s="44"/>
      <c r="W702" s="44"/>
      <c r="X702" s="121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</row>
    <row r="703">
      <c r="A703" s="44"/>
      <c r="B703" s="44"/>
      <c r="C703" s="44"/>
      <c r="D703" s="118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120"/>
      <c r="U703" s="44"/>
      <c r="V703" s="44"/>
      <c r="W703" s="44"/>
      <c r="X703" s="121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</row>
    <row r="704">
      <c r="A704" s="44"/>
      <c r="B704" s="44"/>
      <c r="C704" s="44"/>
      <c r="D704" s="118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120"/>
      <c r="U704" s="44"/>
      <c r="V704" s="44"/>
      <c r="W704" s="44"/>
      <c r="X704" s="121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</row>
    <row r="705">
      <c r="A705" s="44"/>
      <c r="B705" s="44"/>
      <c r="C705" s="44"/>
      <c r="D705" s="118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120"/>
      <c r="U705" s="44"/>
      <c r="V705" s="44"/>
      <c r="W705" s="44"/>
      <c r="X705" s="121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</row>
    <row r="706">
      <c r="A706" s="44"/>
      <c r="B706" s="44"/>
      <c r="C706" s="44"/>
      <c r="D706" s="118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120"/>
      <c r="U706" s="44"/>
      <c r="V706" s="44"/>
      <c r="W706" s="44"/>
      <c r="X706" s="121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</row>
    <row r="707">
      <c r="A707" s="44"/>
      <c r="B707" s="44"/>
      <c r="C707" s="44"/>
      <c r="D707" s="118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120"/>
      <c r="U707" s="44"/>
      <c r="V707" s="44"/>
      <c r="W707" s="44"/>
      <c r="X707" s="121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</row>
    <row r="708">
      <c r="A708" s="44"/>
      <c r="B708" s="44"/>
      <c r="C708" s="44"/>
      <c r="D708" s="118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120"/>
      <c r="U708" s="44"/>
      <c r="V708" s="44"/>
      <c r="W708" s="44"/>
      <c r="X708" s="121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</row>
    <row r="709">
      <c r="A709" s="44"/>
      <c r="B709" s="44"/>
      <c r="C709" s="44"/>
      <c r="D709" s="118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120"/>
      <c r="U709" s="44"/>
      <c r="V709" s="44"/>
      <c r="W709" s="44"/>
      <c r="X709" s="121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</row>
    <row r="710">
      <c r="A710" s="44"/>
      <c r="B710" s="44"/>
      <c r="C710" s="44"/>
      <c r="D710" s="118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120"/>
      <c r="U710" s="44"/>
      <c r="V710" s="44"/>
      <c r="W710" s="44"/>
      <c r="X710" s="121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</row>
    <row r="711">
      <c r="A711" s="44"/>
      <c r="B711" s="44"/>
      <c r="C711" s="44"/>
      <c r="D711" s="118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120"/>
      <c r="U711" s="44"/>
      <c r="V711" s="44"/>
      <c r="W711" s="44"/>
      <c r="X711" s="121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</row>
    <row r="712">
      <c r="A712" s="44"/>
      <c r="B712" s="44"/>
      <c r="C712" s="44"/>
      <c r="D712" s="118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120"/>
      <c r="U712" s="44"/>
      <c r="V712" s="44"/>
      <c r="W712" s="44"/>
      <c r="X712" s="121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</row>
    <row r="713">
      <c r="A713" s="44"/>
      <c r="B713" s="44"/>
      <c r="C713" s="44"/>
      <c r="D713" s="118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120"/>
      <c r="U713" s="44"/>
      <c r="V713" s="44"/>
      <c r="W713" s="44"/>
      <c r="X713" s="121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</row>
    <row r="714">
      <c r="A714" s="44"/>
      <c r="B714" s="44"/>
      <c r="C714" s="44"/>
      <c r="D714" s="118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120"/>
      <c r="U714" s="44"/>
      <c r="V714" s="44"/>
      <c r="W714" s="44"/>
      <c r="X714" s="121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</row>
    <row r="715">
      <c r="A715" s="44"/>
      <c r="B715" s="44"/>
      <c r="C715" s="44"/>
      <c r="D715" s="118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120"/>
      <c r="U715" s="44"/>
      <c r="V715" s="44"/>
      <c r="W715" s="44"/>
      <c r="X715" s="121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</row>
    <row r="716">
      <c r="A716" s="44"/>
      <c r="B716" s="44"/>
      <c r="C716" s="44"/>
      <c r="D716" s="118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120"/>
      <c r="U716" s="44"/>
      <c r="V716" s="44"/>
      <c r="W716" s="44"/>
      <c r="X716" s="121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</row>
    <row r="717">
      <c r="A717" s="44"/>
      <c r="B717" s="44"/>
      <c r="C717" s="44"/>
      <c r="D717" s="118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120"/>
      <c r="U717" s="44"/>
      <c r="V717" s="44"/>
      <c r="W717" s="44"/>
      <c r="X717" s="121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</row>
    <row r="718">
      <c r="A718" s="44"/>
      <c r="B718" s="44"/>
      <c r="C718" s="44"/>
      <c r="D718" s="118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120"/>
      <c r="U718" s="44"/>
      <c r="V718" s="44"/>
      <c r="W718" s="44"/>
      <c r="X718" s="121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</row>
    <row r="719">
      <c r="A719" s="44"/>
      <c r="B719" s="44"/>
      <c r="C719" s="44"/>
      <c r="D719" s="118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120"/>
      <c r="U719" s="44"/>
      <c r="V719" s="44"/>
      <c r="W719" s="44"/>
      <c r="X719" s="121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</row>
    <row r="720">
      <c r="A720" s="44"/>
      <c r="B720" s="44"/>
      <c r="C720" s="44"/>
      <c r="D720" s="118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120"/>
      <c r="U720" s="44"/>
      <c r="V720" s="44"/>
      <c r="W720" s="44"/>
      <c r="X720" s="121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</row>
    <row r="721">
      <c r="A721" s="44"/>
      <c r="B721" s="44"/>
      <c r="C721" s="44"/>
      <c r="D721" s="118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120"/>
      <c r="U721" s="44"/>
      <c r="V721" s="44"/>
      <c r="W721" s="44"/>
      <c r="X721" s="121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</row>
    <row r="722">
      <c r="A722" s="44"/>
      <c r="B722" s="44"/>
      <c r="C722" s="44"/>
      <c r="D722" s="118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120"/>
      <c r="U722" s="44"/>
      <c r="V722" s="44"/>
      <c r="W722" s="44"/>
      <c r="X722" s="121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</row>
    <row r="723">
      <c r="A723" s="44"/>
      <c r="B723" s="44"/>
      <c r="C723" s="44"/>
      <c r="D723" s="118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120"/>
      <c r="U723" s="44"/>
      <c r="V723" s="44"/>
      <c r="W723" s="44"/>
      <c r="X723" s="121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</row>
    <row r="724">
      <c r="A724" s="44"/>
      <c r="B724" s="44"/>
      <c r="C724" s="44"/>
      <c r="D724" s="118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120"/>
      <c r="U724" s="44"/>
      <c r="V724" s="44"/>
      <c r="W724" s="44"/>
      <c r="X724" s="121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</row>
    <row r="725">
      <c r="A725" s="44"/>
      <c r="B725" s="44"/>
      <c r="C725" s="44"/>
      <c r="D725" s="118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120"/>
      <c r="U725" s="44"/>
      <c r="V725" s="44"/>
      <c r="W725" s="44"/>
      <c r="X725" s="121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</row>
    <row r="726">
      <c r="A726" s="44"/>
      <c r="B726" s="44"/>
      <c r="C726" s="44"/>
      <c r="D726" s="118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120"/>
      <c r="U726" s="44"/>
      <c r="V726" s="44"/>
      <c r="W726" s="44"/>
      <c r="X726" s="121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</row>
    <row r="727">
      <c r="A727" s="44"/>
      <c r="B727" s="44"/>
      <c r="C727" s="44"/>
      <c r="D727" s="118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120"/>
      <c r="U727" s="44"/>
      <c r="V727" s="44"/>
      <c r="W727" s="44"/>
      <c r="X727" s="121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</row>
    <row r="728">
      <c r="A728" s="44"/>
      <c r="B728" s="44"/>
      <c r="C728" s="44"/>
      <c r="D728" s="118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120"/>
      <c r="U728" s="44"/>
      <c r="V728" s="44"/>
      <c r="W728" s="44"/>
      <c r="X728" s="121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</row>
    <row r="729">
      <c r="A729" s="44"/>
      <c r="B729" s="44"/>
      <c r="C729" s="44"/>
      <c r="D729" s="118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120"/>
      <c r="U729" s="44"/>
      <c r="V729" s="44"/>
      <c r="W729" s="44"/>
      <c r="X729" s="121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</row>
    <row r="730">
      <c r="A730" s="44"/>
      <c r="B730" s="44"/>
      <c r="C730" s="44"/>
      <c r="D730" s="118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120"/>
      <c r="U730" s="44"/>
      <c r="V730" s="44"/>
      <c r="W730" s="44"/>
      <c r="X730" s="121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</row>
    <row r="731">
      <c r="A731" s="44"/>
      <c r="B731" s="44"/>
      <c r="C731" s="44"/>
      <c r="D731" s="118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120"/>
      <c r="U731" s="44"/>
      <c r="V731" s="44"/>
      <c r="W731" s="44"/>
      <c r="X731" s="121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</row>
    <row r="732">
      <c r="A732" s="44"/>
      <c r="B732" s="44"/>
      <c r="C732" s="44"/>
      <c r="D732" s="118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120"/>
      <c r="U732" s="44"/>
      <c r="V732" s="44"/>
      <c r="W732" s="44"/>
      <c r="X732" s="121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</row>
    <row r="733">
      <c r="A733" s="44"/>
      <c r="B733" s="44"/>
      <c r="C733" s="44"/>
      <c r="D733" s="118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120"/>
      <c r="U733" s="44"/>
      <c r="V733" s="44"/>
      <c r="W733" s="44"/>
      <c r="X733" s="121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</row>
    <row r="734">
      <c r="A734" s="44"/>
      <c r="B734" s="44"/>
      <c r="C734" s="44"/>
      <c r="D734" s="118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120"/>
      <c r="U734" s="44"/>
      <c r="V734" s="44"/>
      <c r="W734" s="44"/>
      <c r="X734" s="121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</row>
    <row r="735">
      <c r="A735" s="44"/>
      <c r="B735" s="44"/>
      <c r="C735" s="44"/>
      <c r="D735" s="118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120"/>
      <c r="U735" s="44"/>
      <c r="V735" s="44"/>
      <c r="W735" s="44"/>
      <c r="X735" s="121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</row>
    <row r="736">
      <c r="A736" s="44"/>
      <c r="B736" s="44"/>
      <c r="C736" s="44"/>
      <c r="D736" s="118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120"/>
      <c r="U736" s="44"/>
      <c r="V736" s="44"/>
      <c r="W736" s="44"/>
      <c r="X736" s="121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</row>
    <row r="737">
      <c r="A737" s="44"/>
      <c r="B737" s="44"/>
      <c r="C737" s="44"/>
      <c r="D737" s="118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120"/>
      <c r="U737" s="44"/>
      <c r="V737" s="44"/>
      <c r="W737" s="44"/>
      <c r="X737" s="121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</row>
    <row r="738">
      <c r="A738" s="44"/>
      <c r="B738" s="44"/>
      <c r="C738" s="44"/>
      <c r="D738" s="118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120"/>
      <c r="U738" s="44"/>
      <c r="V738" s="44"/>
      <c r="W738" s="44"/>
      <c r="X738" s="121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</row>
    <row r="739">
      <c r="A739" s="44"/>
      <c r="B739" s="44"/>
      <c r="C739" s="44"/>
      <c r="D739" s="118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120"/>
      <c r="U739" s="44"/>
      <c r="V739" s="44"/>
      <c r="W739" s="44"/>
      <c r="X739" s="121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</row>
    <row r="740">
      <c r="A740" s="44"/>
      <c r="B740" s="44"/>
      <c r="C740" s="44"/>
      <c r="D740" s="118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120"/>
      <c r="U740" s="44"/>
      <c r="V740" s="44"/>
      <c r="W740" s="44"/>
      <c r="X740" s="121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</row>
    <row r="741">
      <c r="A741" s="44"/>
      <c r="B741" s="44"/>
      <c r="C741" s="44"/>
      <c r="D741" s="118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120"/>
      <c r="U741" s="44"/>
      <c r="V741" s="44"/>
      <c r="W741" s="44"/>
      <c r="X741" s="121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</row>
    <row r="742">
      <c r="A742" s="44"/>
      <c r="B742" s="44"/>
      <c r="C742" s="44"/>
      <c r="D742" s="118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120"/>
      <c r="U742" s="44"/>
      <c r="V742" s="44"/>
      <c r="W742" s="44"/>
      <c r="X742" s="121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</row>
    <row r="743">
      <c r="A743" s="44"/>
      <c r="B743" s="44"/>
      <c r="C743" s="44"/>
      <c r="D743" s="118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120"/>
      <c r="U743" s="44"/>
      <c r="V743" s="44"/>
      <c r="W743" s="44"/>
      <c r="X743" s="121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</row>
    <row r="744">
      <c r="A744" s="44"/>
      <c r="B744" s="44"/>
      <c r="C744" s="44"/>
      <c r="D744" s="118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120"/>
      <c r="U744" s="44"/>
      <c r="V744" s="44"/>
      <c r="W744" s="44"/>
      <c r="X744" s="121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</row>
    <row r="745">
      <c r="A745" s="44"/>
      <c r="B745" s="44"/>
      <c r="C745" s="44"/>
      <c r="D745" s="118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120"/>
      <c r="U745" s="44"/>
      <c r="V745" s="44"/>
      <c r="W745" s="44"/>
      <c r="X745" s="121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</row>
    <row r="746">
      <c r="A746" s="44"/>
      <c r="B746" s="44"/>
      <c r="C746" s="44"/>
      <c r="D746" s="118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120"/>
      <c r="U746" s="44"/>
      <c r="V746" s="44"/>
      <c r="W746" s="44"/>
      <c r="X746" s="121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</row>
    <row r="747">
      <c r="A747" s="44"/>
      <c r="B747" s="44"/>
      <c r="C747" s="44"/>
      <c r="D747" s="118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120"/>
      <c r="U747" s="44"/>
      <c r="V747" s="44"/>
      <c r="W747" s="44"/>
      <c r="X747" s="121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</row>
    <row r="748">
      <c r="A748" s="44"/>
      <c r="B748" s="44"/>
      <c r="C748" s="44"/>
      <c r="D748" s="118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120"/>
      <c r="U748" s="44"/>
      <c r="V748" s="44"/>
      <c r="W748" s="44"/>
      <c r="X748" s="121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</row>
    <row r="749">
      <c r="A749" s="44"/>
      <c r="B749" s="44"/>
      <c r="C749" s="44"/>
      <c r="D749" s="118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120"/>
      <c r="U749" s="44"/>
      <c r="V749" s="44"/>
      <c r="W749" s="44"/>
      <c r="X749" s="121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</row>
    <row r="750">
      <c r="A750" s="44"/>
      <c r="B750" s="44"/>
      <c r="C750" s="44"/>
      <c r="D750" s="118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120"/>
      <c r="U750" s="44"/>
      <c r="V750" s="44"/>
      <c r="W750" s="44"/>
      <c r="X750" s="121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</row>
    <row r="751">
      <c r="A751" s="44"/>
      <c r="B751" s="44"/>
      <c r="C751" s="44"/>
      <c r="D751" s="118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120"/>
      <c r="U751" s="44"/>
      <c r="V751" s="44"/>
      <c r="W751" s="44"/>
      <c r="X751" s="121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</row>
    <row r="752">
      <c r="A752" s="44"/>
      <c r="B752" s="44"/>
      <c r="C752" s="44"/>
      <c r="D752" s="118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120"/>
      <c r="U752" s="44"/>
      <c r="V752" s="44"/>
      <c r="W752" s="44"/>
      <c r="X752" s="121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</row>
    <row r="753">
      <c r="A753" s="44"/>
      <c r="B753" s="44"/>
      <c r="C753" s="44"/>
      <c r="D753" s="118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120"/>
      <c r="U753" s="44"/>
      <c r="V753" s="44"/>
      <c r="W753" s="44"/>
      <c r="X753" s="121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</row>
    <row r="754">
      <c r="A754" s="44"/>
      <c r="B754" s="44"/>
      <c r="C754" s="44"/>
      <c r="D754" s="118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120"/>
      <c r="U754" s="44"/>
      <c r="V754" s="44"/>
      <c r="W754" s="44"/>
      <c r="X754" s="121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</row>
    <row r="755">
      <c r="A755" s="44"/>
      <c r="B755" s="44"/>
      <c r="C755" s="44"/>
      <c r="D755" s="118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120"/>
      <c r="U755" s="44"/>
      <c r="V755" s="44"/>
      <c r="W755" s="44"/>
      <c r="X755" s="121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</row>
    <row r="756">
      <c r="A756" s="44"/>
      <c r="B756" s="44"/>
      <c r="C756" s="44"/>
      <c r="D756" s="118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120"/>
      <c r="U756" s="44"/>
      <c r="V756" s="44"/>
      <c r="W756" s="44"/>
      <c r="X756" s="121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</row>
    <row r="757">
      <c r="A757" s="44"/>
      <c r="B757" s="44"/>
      <c r="C757" s="44"/>
      <c r="D757" s="118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120"/>
      <c r="U757" s="44"/>
      <c r="V757" s="44"/>
      <c r="W757" s="44"/>
      <c r="X757" s="121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</row>
    <row r="758">
      <c r="A758" s="44"/>
      <c r="B758" s="44"/>
      <c r="C758" s="44"/>
      <c r="D758" s="118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120"/>
      <c r="U758" s="44"/>
      <c r="V758" s="44"/>
      <c r="W758" s="44"/>
      <c r="X758" s="121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</row>
    <row r="759">
      <c r="A759" s="44"/>
      <c r="B759" s="44"/>
      <c r="C759" s="44"/>
      <c r="D759" s="118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120"/>
      <c r="U759" s="44"/>
      <c r="V759" s="44"/>
      <c r="W759" s="44"/>
      <c r="X759" s="121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</row>
    <row r="760">
      <c r="A760" s="44"/>
      <c r="B760" s="44"/>
      <c r="C760" s="44"/>
      <c r="D760" s="118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120"/>
      <c r="U760" s="44"/>
      <c r="V760" s="44"/>
      <c r="W760" s="44"/>
      <c r="X760" s="121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</row>
    <row r="761">
      <c r="A761" s="44"/>
      <c r="B761" s="44"/>
      <c r="C761" s="44"/>
      <c r="D761" s="118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120"/>
      <c r="U761" s="44"/>
      <c r="V761" s="44"/>
      <c r="W761" s="44"/>
      <c r="X761" s="121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</row>
    <row r="762">
      <c r="A762" s="44"/>
      <c r="B762" s="44"/>
      <c r="C762" s="44"/>
      <c r="D762" s="118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120"/>
      <c r="U762" s="44"/>
      <c r="V762" s="44"/>
      <c r="W762" s="44"/>
      <c r="X762" s="121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</row>
    <row r="763">
      <c r="A763" s="44"/>
      <c r="B763" s="44"/>
      <c r="C763" s="44"/>
      <c r="D763" s="118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120"/>
      <c r="U763" s="44"/>
      <c r="V763" s="44"/>
      <c r="W763" s="44"/>
      <c r="X763" s="121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</row>
    <row r="764">
      <c r="A764" s="44"/>
      <c r="B764" s="44"/>
      <c r="C764" s="44"/>
      <c r="D764" s="118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120"/>
      <c r="U764" s="44"/>
      <c r="V764" s="44"/>
      <c r="W764" s="44"/>
      <c r="X764" s="121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</row>
    <row r="765">
      <c r="A765" s="44"/>
      <c r="B765" s="44"/>
      <c r="C765" s="44"/>
      <c r="D765" s="118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120"/>
      <c r="U765" s="44"/>
      <c r="V765" s="44"/>
      <c r="W765" s="44"/>
      <c r="X765" s="121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</row>
    <row r="766">
      <c r="A766" s="44"/>
      <c r="B766" s="44"/>
      <c r="C766" s="44"/>
      <c r="D766" s="118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120"/>
      <c r="U766" s="44"/>
      <c r="V766" s="44"/>
      <c r="W766" s="44"/>
      <c r="X766" s="121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</row>
    <row r="767">
      <c r="A767" s="44"/>
      <c r="B767" s="44"/>
      <c r="C767" s="44"/>
      <c r="D767" s="118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120"/>
      <c r="U767" s="44"/>
      <c r="V767" s="44"/>
      <c r="W767" s="44"/>
      <c r="X767" s="121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</row>
    <row r="768">
      <c r="A768" s="44"/>
      <c r="B768" s="44"/>
      <c r="C768" s="44"/>
      <c r="D768" s="118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120"/>
      <c r="U768" s="44"/>
      <c r="V768" s="44"/>
      <c r="W768" s="44"/>
      <c r="X768" s="121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</row>
    <row r="769">
      <c r="A769" s="44"/>
      <c r="B769" s="44"/>
      <c r="C769" s="44"/>
      <c r="D769" s="118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120"/>
      <c r="U769" s="44"/>
      <c r="V769" s="44"/>
      <c r="W769" s="44"/>
      <c r="X769" s="121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</row>
    <row r="770">
      <c r="A770" s="44"/>
      <c r="B770" s="44"/>
      <c r="C770" s="44"/>
      <c r="D770" s="118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120"/>
      <c r="U770" s="44"/>
      <c r="V770" s="44"/>
      <c r="W770" s="44"/>
      <c r="X770" s="121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</row>
    <row r="771">
      <c r="A771" s="44"/>
      <c r="B771" s="44"/>
      <c r="C771" s="44"/>
      <c r="D771" s="118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120"/>
      <c r="U771" s="44"/>
      <c r="V771" s="44"/>
      <c r="W771" s="44"/>
      <c r="X771" s="121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</row>
    <row r="772">
      <c r="A772" s="44"/>
      <c r="B772" s="44"/>
      <c r="C772" s="44"/>
      <c r="D772" s="118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120"/>
      <c r="U772" s="44"/>
      <c r="V772" s="44"/>
      <c r="W772" s="44"/>
      <c r="X772" s="121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</row>
    <row r="773">
      <c r="A773" s="44"/>
      <c r="B773" s="44"/>
      <c r="C773" s="44"/>
      <c r="D773" s="118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120"/>
      <c r="U773" s="44"/>
      <c r="V773" s="44"/>
      <c r="W773" s="44"/>
      <c r="X773" s="121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</row>
    <row r="774">
      <c r="A774" s="44"/>
      <c r="B774" s="44"/>
      <c r="C774" s="44"/>
      <c r="D774" s="118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120"/>
      <c r="U774" s="44"/>
      <c r="V774" s="44"/>
      <c r="W774" s="44"/>
      <c r="X774" s="121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</row>
    <row r="775">
      <c r="A775" s="44"/>
      <c r="B775" s="44"/>
      <c r="C775" s="44"/>
      <c r="D775" s="118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120"/>
      <c r="U775" s="44"/>
      <c r="V775" s="44"/>
      <c r="W775" s="44"/>
      <c r="X775" s="121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</row>
    <row r="776">
      <c r="A776" s="44"/>
      <c r="B776" s="44"/>
      <c r="C776" s="44"/>
      <c r="D776" s="118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120"/>
      <c r="U776" s="44"/>
      <c r="V776" s="44"/>
      <c r="W776" s="44"/>
      <c r="X776" s="121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</row>
    <row r="777">
      <c r="A777" s="44"/>
      <c r="B777" s="44"/>
      <c r="C777" s="44"/>
      <c r="D777" s="118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120"/>
      <c r="U777" s="44"/>
      <c r="V777" s="44"/>
      <c r="W777" s="44"/>
      <c r="X777" s="121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</row>
    <row r="778">
      <c r="A778" s="44"/>
      <c r="B778" s="44"/>
      <c r="C778" s="44"/>
      <c r="D778" s="118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120"/>
      <c r="U778" s="44"/>
      <c r="V778" s="44"/>
      <c r="W778" s="44"/>
      <c r="X778" s="121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</row>
    <row r="779">
      <c r="A779" s="44"/>
      <c r="B779" s="44"/>
      <c r="C779" s="44"/>
      <c r="D779" s="118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120"/>
      <c r="U779" s="44"/>
      <c r="V779" s="44"/>
      <c r="W779" s="44"/>
      <c r="X779" s="121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</row>
    <row r="780">
      <c r="A780" s="44"/>
      <c r="B780" s="44"/>
      <c r="C780" s="44"/>
      <c r="D780" s="118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120"/>
      <c r="U780" s="44"/>
      <c r="V780" s="44"/>
      <c r="W780" s="44"/>
      <c r="X780" s="121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</row>
    <row r="781">
      <c r="A781" s="44"/>
      <c r="B781" s="44"/>
      <c r="C781" s="44"/>
      <c r="D781" s="118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120"/>
      <c r="U781" s="44"/>
      <c r="V781" s="44"/>
      <c r="W781" s="44"/>
      <c r="X781" s="121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</row>
    <row r="782">
      <c r="A782" s="44"/>
      <c r="B782" s="44"/>
      <c r="C782" s="44"/>
      <c r="D782" s="118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120"/>
      <c r="U782" s="44"/>
      <c r="V782" s="44"/>
      <c r="W782" s="44"/>
      <c r="X782" s="121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</row>
    <row r="783">
      <c r="A783" s="44"/>
      <c r="B783" s="44"/>
      <c r="C783" s="44"/>
      <c r="D783" s="118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120"/>
      <c r="U783" s="44"/>
      <c r="V783" s="44"/>
      <c r="W783" s="44"/>
      <c r="X783" s="121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</row>
    <row r="784">
      <c r="A784" s="44"/>
      <c r="B784" s="44"/>
      <c r="C784" s="44"/>
      <c r="D784" s="118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120"/>
      <c r="U784" s="44"/>
      <c r="V784" s="44"/>
      <c r="W784" s="44"/>
      <c r="X784" s="121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</row>
    <row r="785">
      <c r="A785" s="44"/>
      <c r="B785" s="44"/>
      <c r="C785" s="44"/>
      <c r="D785" s="118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120"/>
      <c r="U785" s="44"/>
      <c r="V785" s="44"/>
      <c r="W785" s="44"/>
      <c r="X785" s="121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</row>
    <row r="786">
      <c r="A786" s="44"/>
      <c r="B786" s="44"/>
      <c r="C786" s="44"/>
      <c r="D786" s="118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120"/>
      <c r="U786" s="44"/>
      <c r="V786" s="44"/>
      <c r="W786" s="44"/>
      <c r="X786" s="121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</row>
    <row r="787">
      <c r="A787" s="44"/>
      <c r="B787" s="44"/>
      <c r="C787" s="44"/>
      <c r="D787" s="118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120"/>
      <c r="U787" s="44"/>
      <c r="V787" s="44"/>
      <c r="W787" s="44"/>
      <c r="X787" s="121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</row>
    <row r="788">
      <c r="A788" s="44"/>
      <c r="B788" s="44"/>
      <c r="C788" s="44"/>
      <c r="D788" s="118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120"/>
      <c r="U788" s="44"/>
      <c r="V788" s="44"/>
      <c r="W788" s="44"/>
      <c r="X788" s="121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</row>
    <row r="789">
      <c r="A789" s="44"/>
      <c r="B789" s="44"/>
      <c r="C789" s="44"/>
      <c r="D789" s="118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120"/>
      <c r="U789" s="44"/>
      <c r="V789" s="44"/>
      <c r="W789" s="44"/>
      <c r="X789" s="121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</row>
    <row r="790">
      <c r="A790" s="44"/>
      <c r="B790" s="44"/>
      <c r="C790" s="44"/>
      <c r="D790" s="118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120"/>
      <c r="U790" s="44"/>
      <c r="V790" s="44"/>
      <c r="W790" s="44"/>
      <c r="X790" s="121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</row>
    <row r="791">
      <c r="A791" s="44"/>
      <c r="B791" s="44"/>
      <c r="C791" s="44"/>
      <c r="D791" s="118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120"/>
      <c r="U791" s="44"/>
      <c r="V791" s="44"/>
      <c r="W791" s="44"/>
      <c r="X791" s="121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</row>
    <row r="792">
      <c r="A792" s="44"/>
      <c r="B792" s="44"/>
      <c r="C792" s="44"/>
      <c r="D792" s="118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120"/>
      <c r="U792" s="44"/>
      <c r="V792" s="44"/>
      <c r="W792" s="44"/>
      <c r="X792" s="121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</row>
    <row r="793">
      <c r="A793" s="44"/>
      <c r="B793" s="44"/>
      <c r="C793" s="44"/>
      <c r="D793" s="118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120"/>
      <c r="U793" s="44"/>
      <c r="V793" s="44"/>
      <c r="W793" s="44"/>
      <c r="X793" s="121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</row>
    <row r="794">
      <c r="A794" s="44"/>
      <c r="B794" s="44"/>
      <c r="C794" s="44"/>
      <c r="D794" s="118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120"/>
      <c r="U794" s="44"/>
      <c r="V794" s="44"/>
      <c r="W794" s="44"/>
      <c r="X794" s="121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</row>
    <row r="795">
      <c r="A795" s="44"/>
      <c r="B795" s="44"/>
      <c r="C795" s="44"/>
      <c r="D795" s="118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120"/>
      <c r="U795" s="44"/>
      <c r="V795" s="44"/>
      <c r="W795" s="44"/>
      <c r="X795" s="121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</row>
    <row r="796">
      <c r="A796" s="44"/>
      <c r="B796" s="44"/>
      <c r="C796" s="44"/>
      <c r="D796" s="118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120"/>
      <c r="U796" s="44"/>
      <c r="V796" s="44"/>
      <c r="W796" s="44"/>
      <c r="X796" s="121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</row>
    <row r="797">
      <c r="A797" s="44"/>
      <c r="B797" s="44"/>
      <c r="C797" s="44"/>
      <c r="D797" s="118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120"/>
      <c r="U797" s="44"/>
      <c r="V797" s="44"/>
      <c r="W797" s="44"/>
      <c r="X797" s="121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</row>
    <row r="798">
      <c r="A798" s="44"/>
      <c r="B798" s="44"/>
      <c r="C798" s="44"/>
      <c r="D798" s="118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120"/>
      <c r="U798" s="44"/>
      <c r="V798" s="44"/>
      <c r="W798" s="44"/>
      <c r="X798" s="121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</row>
    <row r="799">
      <c r="A799" s="44"/>
      <c r="B799" s="44"/>
      <c r="C799" s="44"/>
      <c r="D799" s="118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120"/>
      <c r="U799" s="44"/>
      <c r="V799" s="44"/>
      <c r="W799" s="44"/>
      <c r="X799" s="121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</row>
    <row r="800">
      <c r="A800" s="44"/>
      <c r="B800" s="44"/>
      <c r="C800" s="44"/>
      <c r="D800" s="118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120"/>
      <c r="U800" s="44"/>
      <c r="V800" s="44"/>
      <c r="W800" s="44"/>
      <c r="X800" s="121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</row>
    <row r="801">
      <c r="A801" s="44"/>
      <c r="B801" s="44"/>
      <c r="C801" s="44"/>
      <c r="D801" s="118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120"/>
      <c r="U801" s="44"/>
      <c r="V801" s="44"/>
      <c r="W801" s="44"/>
      <c r="X801" s="121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</row>
    <row r="802">
      <c r="A802" s="44"/>
      <c r="B802" s="44"/>
      <c r="C802" s="44"/>
      <c r="D802" s="118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120"/>
      <c r="U802" s="44"/>
      <c r="V802" s="44"/>
      <c r="W802" s="44"/>
      <c r="X802" s="121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</row>
    <row r="803">
      <c r="A803" s="44"/>
      <c r="B803" s="44"/>
      <c r="C803" s="44"/>
      <c r="D803" s="118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120"/>
      <c r="U803" s="44"/>
      <c r="V803" s="44"/>
      <c r="W803" s="44"/>
      <c r="X803" s="121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</row>
    <row r="804">
      <c r="A804" s="44"/>
      <c r="B804" s="44"/>
      <c r="C804" s="44"/>
      <c r="D804" s="118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120"/>
      <c r="U804" s="44"/>
      <c r="V804" s="44"/>
      <c r="W804" s="44"/>
      <c r="X804" s="121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</row>
    <row r="805">
      <c r="A805" s="44"/>
      <c r="B805" s="44"/>
      <c r="C805" s="44"/>
      <c r="D805" s="118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120"/>
      <c r="U805" s="44"/>
      <c r="V805" s="44"/>
      <c r="W805" s="44"/>
      <c r="X805" s="121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</row>
    <row r="806">
      <c r="A806" s="44"/>
      <c r="B806" s="44"/>
      <c r="C806" s="44"/>
      <c r="D806" s="118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120"/>
      <c r="U806" s="44"/>
      <c r="V806" s="44"/>
      <c r="W806" s="44"/>
      <c r="X806" s="121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</row>
    <row r="807">
      <c r="A807" s="44"/>
      <c r="B807" s="44"/>
      <c r="C807" s="44"/>
      <c r="D807" s="118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120"/>
      <c r="U807" s="44"/>
      <c r="V807" s="44"/>
      <c r="W807" s="44"/>
      <c r="X807" s="121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</row>
    <row r="808">
      <c r="A808" s="44"/>
      <c r="B808" s="44"/>
      <c r="C808" s="44"/>
      <c r="D808" s="118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120"/>
      <c r="U808" s="44"/>
      <c r="V808" s="44"/>
      <c r="W808" s="44"/>
      <c r="X808" s="121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</row>
    <row r="809">
      <c r="A809" s="44"/>
      <c r="B809" s="44"/>
      <c r="C809" s="44"/>
      <c r="D809" s="118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120"/>
      <c r="U809" s="44"/>
      <c r="V809" s="44"/>
      <c r="W809" s="44"/>
      <c r="X809" s="121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</row>
    <row r="810">
      <c r="A810" s="44"/>
      <c r="B810" s="44"/>
      <c r="C810" s="44"/>
      <c r="D810" s="118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120"/>
      <c r="U810" s="44"/>
      <c r="V810" s="44"/>
      <c r="W810" s="44"/>
      <c r="X810" s="121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</row>
    <row r="811">
      <c r="A811" s="44"/>
      <c r="B811" s="44"/>
      <c r="C811" s="44"/>
      <c r="D811" s="118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120"/>
      <c r="U811" s="44"/>
      <c r="V811" s="44"/>
      <c r="W811" s="44"/>
      <c r="X811" s="121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</row>
    <row r="812">
      <c r="A812" s="44"/>
      <c r="B812" s="44"/>
      <c r="C812" s="44"/>
      <c r="D812" s="118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120"/>
      <c r="U812" s="44"/>
      <c r="V812" s="44"/>
      <c r="W812" s="44"/>
      <c r="X812" s="121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</row>
    <row r="813">
      <c r="A813" s="44"/>
      <c r="B813" s="44"/>
      <c r="C813" s="44"/>
      <c r="D813" s="118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120"/>
      <c r="U813" s="44"/>
      <c r="V813" s="44"/>
      <c r="W813" s="44"/>
      <c r="X813" s="121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</row>
    <row r="814">
      <c r="A814" s="44"/>
      <c r="B814" s="44"/>
      <c r="C814" s="44"/>
      <c r="D814" s="118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120"/>
      <c r="U814" s="44"/>
      <c r="V814" s="44"/>
      <c r="W814" s="44"/>
      <c r="X814" s="121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</row>
    <row r="815">
      <c r="A815" s="44"/>
      <c r="B815" s="44"/>
      <c r="C815" s="44"/>
      <c r="D815" s="118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120"/>
      <c r="U815" s="44"/>
      <c r="V815" s="44"/>
      <c r="W815" s="44"/>
      <c r="X815" s="121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</row>
    <row r="816">
      <c r="A816" s="44"/>
      <c r="B816" s="44"/>
      <c r="C816" s="44"/>
      <c r="D816" s="118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120"/>
      <c r="U816" s="44"/>
      <c r="V816" s="44"/>
      <c r="W816" s="44"/>
      <c r="X816" s="121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</row>
    <row r="817">
      <c r="A817" s="44"/>
      <c r="B817" s="44"/>
      <c r="C817" s="44"/>
      <c r="D817" s="118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120"/>
      <c r="U817" s="44"/>
      <c r="V817" s="44"/>
      <c r="W817" s="44"/>
      <c r="X817" s="121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</row>
    <row r="818">
      <c r="A818" s="44"/>
      <c r="B818" s="44"/>
      <c r="C818" s="44"/>
      <c r="D818" s="118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120"/>
      <c r="U818" s="44"/>
      <c r="V818" s="44"/>
      <c r="W818" s="44"/>
      <c r="X818" s="121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</row>
    <row r="819">
      <c r="A819" s="44"/>
      <c r="B819" s="44"/>
      <c r="C819" s="44"/>
      <c r="D819" s="118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120"/>
      <c r="U819" s="44"/>
      <c r="V819" s="44"/>
      <c r="W819" s="44"/>
      <c r="X819" s="121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</row>
    <row r="820">
      <c r="A820" s="44"/>
      <c r="B820" s="44"/>
      <c r="C820" s="44"/>
      <c r="D820" s="118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120"/>
      <c r="U820" s="44"/>
      <c r="V820" s="44"/>
      <c r="W820" s="44"/>
      <c r="X820" s="121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</row>
    <row r="821">
      <c r="A821" s="44"/>
      <c r="B821" s="44"/>
      <c r="C821" s="44"/>
      <c r="D821" s="118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120"/>
      <c r="U821" s="44"/>
      <c r="V821" s="44"/>
      <c r="W821" s="44"/>
      <c r="X821" s="121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</row>
    <row r="822">
      <c r="A822" s="44"/>
      <c r="B822" s="44"/>
      <c r="C822" s="44"/>
      <c r="D822" s="118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120"/>
      <c r="U822" s="44"/>
      <c r="V822" s="44"/>
      <c r="W822" s="44"/>
      <c r="X822" s="121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</row>
    <row r="823">
      <c r="A823" s="44"/>
      <c r="B823" s="44"/>
      <c r="C823" s="44"/>
      <c r="D823" s="118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120"/>
      <c r="U823" s="44"/>
      <c r="V823" s="44"/>
      <c r="W823" s="44"/>
      <c r="X823" s="121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</row>
    <row r="824">
      <c r="A824" s="44"/>
      <c r="B824" s="44"/>
      <c r="C824" s="44"/>
      <c r="D824" s="118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120"/>
      <c r="U824" s="44"/>
      <c r="V824" s="44"/>
      <c r="W824" s="44"/>
      <c r="X824" s="121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</row>
    <row r="825">
      <c r="A825" s="44"/>
      <c r="B825" s="44"/>
      <c r="C825" s="44"/>
      <c r="D825" s="118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120"/>
      <c r="U825" s="44"/>
      <c r="V825" s="44"/>
      <c r="W825" s="44"/>
      <c r="X825" s="121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</row>
    <row r="826">
      <c r="A826" s="44"/>
      <c r="B826" s="44"/>
      <c r="C826" s="44"/>
      <c r="D826" s="118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120"/>
      <c r="U826" s="44"/>
      <c r="V826" s="44"/>
      <c r="W826" s="44"/>
      <c r="X826" s="121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</row>
    <row r="827">
      <c r="A827" s="44"/>
      <c r="B827" s="44"/>
      <c r="C827" s="44"/>
      <c r="D827" s="118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120"/>
      <c r="U827" s="44"/>
      <c r="V827" s="44"/>
      <c r="W827" s="44"/>
      <c r="X827" s="121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</row>
    <row r="828">
      <c r="A828" s="44"/>
      <c r="B828" s="44"/>
      <c r="C828" s="44"/>
      <c r="D828" s="118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120"/>
      <c r="U828" s="44"/>
      <c r="V828" s="44"/>
      <c r="W828" s="44"/>
      <c r="X828" s="121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</row>
    <row r="829">
      <c r="A829" s="44"/>
      <c r="B829" s="44"/>
      <c r="C829" s="44"/>
      <c r="D829" s="118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120"/>
      <c r="U829" s="44"/>
      <c r="V829" s="44"/>
      <c r="W829" s="44"/>
      <c r="X829" s="121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</row>
    <row r="830">
      <c r="A830" s="44"/>
      <c r="B830" s="44"/>
      <c r="C830" s="44"/>
      <c r="D830" s="118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120"/>
      <c r="U830" s="44"/>
      <c r="V830" s="44"/>
      <c r="W830" s="44"/>
      <c r="X830" s="121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</row>
    <row r="831">
      <c r="A831" s="44"/>
      <c r="B831" s="44"/>
      <c r="C831" s="44"/>
      <c r="D831" s="118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120"/>
      <c r="U831" s="44"/>
      <c r="V831" s="44"/>
      <c r="W831" s="44"/>
      <c r="X831" s="121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</row>
    <row r="832">
      <c r="A832" s="44"/>
      <c r="B832" s="44"/>
      <c r="C832" s="44"/>
      <c r="D832" s="118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120"/>
      <c r="U832" s="44"/>
      <c r="V832" s="44"/>
      <c r="W832" s="44"/>
      <c r="X832" s="121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</row>
    <row r="833">
      <c r="A833" s="44"/>
      <c r="B833" s="44"/>
      <c r="C833" s="44"/>
      <c r="D833" s="118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120"/>
      <c r="U833" s="44"/>
      <c r="V833" s="44"/>
      <c r="W833" s="44"/>
      <c r="X833" s="121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</row>
    <row r="834">
      <c r="A834" s="44"/>
      <c r="B834" s="44"/>
      <c r="C834" s="44"/>
      <c r="D834" s="118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120"/>
      <c r="U834" s="44"/>
      <c r="V834" s="44"/>
      <c r="W834" s="44"/>
      <c r="X834" s="121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</row>
    <row r="835">
      <c r="A835" s="44"/>
      <c r="B835" s="44"/>
      <c r="C835" s="44"/>
      <c r="D835" s="118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120"/>
      <c r="U835" s="44"/>
      <c r="V835" s="44"/>
      <c r="W835" s="44"/>
      <c r="X835" s="121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</row>
    <row r="836">
      <c r="A836" s="44"/>
      <c r="B836" s="44"/>
      <c r="C836" s="44"/>
      <c r="D836" s="118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120"/>
      <c r="U836" s="44"/>
      <c r="V836" s="44"/>
      <c r="W836" s="44"/>
      <c r="X836" s="121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</row>
    <row r="837">
      <c r="A837" s="44"/>
      <c r="B837" s="44"/>
      <c r="C837" s="44"/>
      <c r="D837" s="118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120"/>
      <c r="U837" s="44"/>
      <c r="V837" s="44"/>
      <c r="W837" s="44"/>
      <c r="X837" s="121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</row>
    <row r="838">
      <c r="A838" s="44"/>
      <c r="B838" s="44"/>
      <c r="C838" s="44"/>
      <c r="D838" s="118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120"/>
      <c r="U838" s="44"/>
      <c r="V838" s="44"/>
      <c r="W838" s="44"/>
      <c r="X838" s="121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</row>
    <row r="839">
      <c r="A839" s="44"/>
      <c r="B839" s="44"/>
      <c r="C839" s="44"/>
      <c r="D839" s="118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120"/>
      <c r="U839" s="44"/>
      <c r="V839" s="44"/>
      <c r="W839" s="44"/>
      <c r="X839" s="121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</row>
    <row r="840">
      <c r="A840" s="44"/>
      <c r="B840" s="44"/>
      <c r="C840" s="44"/>
      <c r="D840" s="118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120"/>
      <c r="U840" s="44"/>
      <c r="V840" s="44"/>
      <c r="W840" s="44"/>
      <c r="X840" s="121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</row>
    <row r="841">
      <c r="A841" s="44"/>
      <c r="B841" s="44"/>
      <c r="C841" s="44"/>
      <c r="D841" s="118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120"/>
      <c r="U841" s="44"/>
      <c r="V841" s="44"/>
      <c r="W841" s="44"/>
      <c r="X841" s="121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</row>
    <row r="842">
      <c r="A842" s="44"/>
      <c r="B842" s="44"/>
      <c r="C842" s="44"/>
      <c r="D842" s="118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120"/>
      <c r="U842" s="44"/>
      <c r="V842" s="44"/>
      <c r="W842" s="44"/>
      <c r="X842" s="121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</row>
    <row r="843">
      <c r="A843" s="44"/>
      <c r="B843" s="44"/>
      <c r="C843" s="44"/>
      <c r="D843" s="118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120"/>
      <c r="U843" s="44"/>
      <c r="V843" s="44"/>
      <c r="W843" s="44"/>
      <c r="X843" s="121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</row>
    <row r="844">
      <c r="A844" s="44"/>
      <c r="B844" s="44"/>
      <c r="C844" s="44"/>
      <c r="D844" s="118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120"/>
      <c r="U844" s="44"/>
      <c r="V844" s="44"/>
      <c r="W844" s="44"/>
      <c r="X844" s="121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</row>
    <row r="845">
      <c r="A845" s="44"/>
      <c r="B845" s="44"/>
      <c r="C845" s="44"/>
      <c r="D845" s="118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120"/>
      <c r="U845" s="44"/>
      <c r="V845" s="44"/>
      <c r="W845" s="44"/>
      <c r="X845" s="121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</row>
    <row r="846">
      <c r="A846" s="44"/>
      <c r="B846" s="44"/>
      <c r="C846" s="44"/>
      <c r="D846" s="118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120"/>
      <c r="U846" s="44"/>
      <c r="V846" s="44"/>
      <c r="W846" s="44"/>
      <c r="X846" s="121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</row>
    <row r="847">
      <c r="A847" s="44"/>
      <c r="B847" s="44"/>
      <c r="C847" s="44"/>
      <c r="D847" s="118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120"/>
      <c r="U847" s="44"/>
      <c r="V847" s="44"/>
      <c r="W847" s="44"/>
      <c r="X847" s="121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</row>
    <row r="848">
      <c r="A848" s="44"/>
      <c r="B848" s="44"/>
      <c r="C848" s="44"/>
      <c r="D848" s="118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120"/>
      <c r="U848" s="44"/>
      <c r="V848" s="44"/>
      <c r="W848" s="44"/>
      <c r="X848" s="121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</row>
    <row r="849">
      <c r="A849" s="44"/>
      <c r="B849" s="44"/>
      <c r="C849" s="44"/>
      <c r="D849" s="118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120"/>
      <c r="U849" s="44"/>
      <c r="V849" s="44"/>
      <c r="W849" s="44"/>
      <c r="X849" s="121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</row>
    <row r="850">
      <c r="A850" s="44"/>
      <c r="B850" s="44"/>
      <c r="C850" s="44"/>
      <c r="D850" s="118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120"/>
      <c r="U850" s="44"/>
      <c r="V850" s="44"/>
      <c r="W850" s="44"/>
      <c r="X850" s="121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</row>
    <row r="851">
      <c r="A851" s="44"/>
      <c r="B851" s="44"/>
      <c r="C851" s="44"/>
      <c r="D851" s="118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120"/>
      <c r="U851" s="44"/>
      <c r="V851" s="44"/>
      <c r="W851" s="44"/>
      <c r="X851" s="121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</row>
    <row r="852">
      <c r="A852" s="44"/>
      <c r="B852" s="44"/>
      <c r="C852" s="44"/>
      <c r="D852" s="118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120"/>
      <c r="U852" s="44"/>
      <c r="V852" s="44"/>
      <c r="W852" s="44"/>
      <c r="X852" s="121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</row>
    <row r="853">
      <c r="A853" s="44"/>
      <c r="B853" s="44"/>
      <c r="C853" s="44"/>
      <c r="D853" s="118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120"/>
      <c r="U853" s="44"/>
      <c r="V853" s="44"/>
      <c r="W853" s="44"/>
      <c r="X853" s="121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</row>
    <row r="854">
      <c r="A854" s="44"/>
      <c r="B854" s="44"/>
      <c r="C854" s="44"/>
      <c r="D854" s="118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120"/>
      <c r="U854" s="44"/>
      <c r="V854" s="44"/>
      <c r="W854" s="44"/>
      <c r="X854" s="121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</row>
    <row r="855">
      <c r="A855" s="44"/>
      <c r="B855" s="44"/>
      <c r="C855" s="44"/>
      <c r="D855" s="118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120"/>
      <c r="U855" s="44"/>
      <c r="V855" s="44"/>
      <c r="W855" s="44"/>
      <c r="X855" s="121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</row>
    <row r="856">
      <c r="A856" s="44"/>
      <c r="B856" s="44"/>
      <c r="C856" s="44"/>
      <c r="D856" s="118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120"/>
      <c r="U856" s="44"/>
      <c r="V856" s="44"/>
      <c r="W856" s="44"/>
      <c r="X856" s="121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</row>
    <row r="857">
      <c r="A857" s="44"/>
      <c r="B857" s="44"/>
      <c r="C857" s="44"/>
      <c r="D857" s="118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120"/>
      <c r="U857" s="44"/>
      <c r="V857" s="44"/>
      <c r="W857" s="44"/>
      <c r="X857" s="121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</row>
    <row r="858">
      <c r="A858" s="44"/>
      <c r="B858" s="44"/>
      <c r="C858" s="44"/>
      <c r="D858" s="118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120"/>
      <c r="U858" s="44"/>
      <c r="V858" s="44"/>
      <c r="W858" s="44"/>
      <c r="X858" s="121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</row>
    <row r="859">
      <c r="A859" s="44"/>
      <c r="B859" s="44"/>
      <c r="C859" s="44"/>
      <c r="D859" s="118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120"/>
      <c r="U859" s="44"/>
      <c r="V859" s="44"/>
      <c r="W859" s="44"/>
      <c r="X859" s="121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</row>
    <row r="860">
      <c r="A860" s="44"/>
      <c r="B860" s="44"/>
      <c r="C860" s="44"/>
      <c r="D860" s="118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120"/>
      <c r="U860" s="44"/>
      <c r="V860" s="44"/>
      <c r="W860" s="44"/>
      <c r="X860" s="121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</row>
    <row r="861">
      <c r="A861" s="44"/>
      <c r="B861" s="44"/>
      <c r="C861" s="44"/>
      <c r="D861" s="118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120"/>
      <c r="U861" s="44"/>
      <c r="V861" s="44"/>
      <c r="W861" s="44"/>
      <c r="X861" s="121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</row>
    <row r="862">
      <c r="A862" s="44"/>
      <c r="B862" s="44"/>
      <c r="C862" s="44"/>
      <c r="D862" s="118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120"/>
      <c r="U862" s="44"/>
      <c r="V862" s="44"/>
      <c r="W862" s="44"/>
      <c r="X862" s="121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</row>
    <row r="863">
      <c r="A863" s="44"/>
      <c r="B863" s="44"/>
      <c r="C863" s="44"/>
      <c r="D863" s="118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120"/>
      <c r="U863" s="44"/>
      <c r="V863" s="44"/>
      <c r="W863" s="44"/>
      <c r="X863" s="121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</row>
    <row r="864">
      <c r="A864" s="44"/>
      <c r="B864" s="44"/>
      <c r="C864" s="44"/>
      <c r="D864" s="118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120"/>
      <c r="U864" s="44"/>
      <c r="V864" s="44"/>
      <c r="W864" s="44"/>
      <c r="X864" s="121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</row>
    <row r="865">
      <c r="A865" s="44"/>
      <c r="B865" s="44"/>
      <c r="C865" s="44"/>
      <c r="D865" s="118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120"/>
      <c r="U865" s="44"/>
      <c r="V865" s="44"/>
      <c r="W865" s="44"/>
      <c r="X865" s="121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</row>
    <row r="866">
      <c r="A866" s="44"/>
      <c r="B866" s="44"/>
      <c r="C866" s="44"/>
      <c r="D866" s="118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120"/>
      <c r="U866" s="44"/>
      <c r="V866" s="44"/>
      <c r="W866" s="44"/>
      <c r="X866" s="121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</row>
    <row r="867">
      <c r="A867" s="44"/>
      <c r="B867" s="44"/>
      <c r="C867" s="44"/>
      <c r="D867" s="118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120"/>
      <c r="U867" s="44"/>
      <c r="V867" s="44"/>
      <c r="W867" s="44"/>
      <c r="X867" s="121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</row>
    <row r="868">
      <c r="A868" s="44"/>
      <c r="B868" s="44"/>
      <c r="C868" s="44"/>
      <c r="D868" s="118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120"/>
      <c r="U868" s="44"/>
      <c r="V868" s="44"/>
      <c r="W868" s="44"/>
      <c r="X868" s="121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</row>
    <row r="869">
      <c r="A869" s="44"/>
      <c r="B869" s="44"/>
      <c r="C869" s="44"/>
      <c r="D869" s="118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120"/>
      <c r="U869" s="44"/>
      <c r="V869" s="44"/>
      <c r="W869" s="44"/>
      <c r="X869" s="121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</row>
    <row r="870">
      <c r="A870" s="44"/>
      <c r="B870" s="44"/>
      <c r="C870" s="44"/>
      <c r="D870" s="118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120"/>
      <c r="U870" s="44"/>
      <c r="V870" s="44"/>
      <c r="W870" s="44"/>
      <c r="X870" s="121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</row>
    <row r="871">
      <c r="A871" s="44"/>
      <c r="B871" s="44"/>
      <c r="C871" s="44"/>
      <c r="D871" s="118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120"/>
      <c r="U871" s="44"/>
      <c r="V871" s="44"/>
      <c r="W871" s="44"/>
      <c r="X871" s="121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</row>
    <row r="872">
      <c r="A872" s="44"/>
      <c r="B872" s="44"/>
      <c r="C872" s="44"/>
      <c r="D872" s="118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120"/>
      <c r="U872" s="44"/>
      <c r="V872" s="44"/>
      <c r="W872" s="44"/>
      <c r="X872" s="121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</row>
    <row r="873">
      <c r="A873" s="44"/>
      <c r="B873" s="44"/>
      <c r="C873" s="44"/>
      <c r="D873" s="118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120"/>
      <c r="U873" s="44"/>
      <c r="V873" s="44"/>
      <c r="W873" s="44"/>
      <c r="X873" s="121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</row>
    <row r="874">
      <c r="A874" s="44"/>
      <c r="B874" s="44"/>
      <c r="C874" s="44"/>
      <c r="D874" s="118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120"/>
      <c r="U874" s="44"/>
      <c r="V874" s="44"/>
      <c r="W874" s="44"/>
      <c r="X874" s="121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</row>
    <row r="875">
      <c r="A875" s="44"/>
      <c r="B875" s="44"/>
      <c r="C875" s="44"/>
      <c r="D875" s="118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120"/>
      <c r="U875" s="44"/>
      <c r="V875" s="44"/>
      <c r="W875" s="44"/>
      <c r="X875" s="121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</row>
    <row r="876">
      <c r="A876" s="44"/>
      <c r="B876" s="44"/>
      <c r="C876" s="44"/>
      <c r="D876" s="118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120"/>
      <c r="U876" s="44"/>
      <c r="V876" s="44"/>
      <c r="W876" s="44"/>
      <c r="X876" s="121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</row>
    <row r="877">
      <c r="A877" s="44"/>
      <c r="B877" s="44"/>
      <c r="C877" s="44"/>
      <c r="D877" s="118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120"/>
      <c r="U877" s="44"/>
      <c r="V877" s="44"/>
      <c r="W877" s="44"/>
      <c r="X877" s="121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</row>
    <row r="878">
      <c r="A878" s="44"/>
      <c r="B878" s="44"/>
      <c r="C878" s="44"/>
      <c r="D878" s="118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120"/>
      <c r="U878" s="44"/>
      <c r="V878" s="44"/>
      <c r="W878" s="44"/>
      <c r="X878" s="121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</row>
    <row r="879">
      <c r="A879" s="44"/>
      <c r="B879" s="44"/>
      <c r="C879" s="44"/>
      <c r="D879" s="118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120"/>
      <c r="U879" s="44"/>
      <c r="V879" s="44"/>
      <c r="W879" s="44"/>
      <c r="X879" s="121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</row>
    <row r="880">
      <c r="A880" s="44"/>
      <c r="B880" s="44"/>
      <c r="C880" s="44"/>
      <c r="D880" s="118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120"/>
      <c r="U880" s="44"/>
      <c r="V880" s="44"/>
      <c r="W880" s="44"/>
      <c r="X880" s="121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</row>
    <row r="881">
      <c r="A881" s="44"/>
      <c r="B881" s="44"/>
      <c r="C881" s="44"/>
      <c r="D881" s="118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120"/>
      <c r="U881" s="44"/>
      <c r="V881" s="44"/>
      <c r="W881" s="44"/>
      <c r="X881" s="121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</row>
    <row r="882">
      <c r="A882" s="44"/>
      <c r="B882" s="44"/>
      <c r="C882" s="44"/>
      <c r="D882" s="118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120"/>
      <c r="U882" s="44"/>
      <c r="V882" s="44"/>
      <c r="W882" s="44"/>
      <c r="X882" s="121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</row>
    <row r="883">
      <c r="A883" s="44"/>
      <c r="B883" s="44"/>
      <c r="C883" s="44"/>
      <c r="D883" s="118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120"/>
      <c r="U883" s="44"/>
      <c r="V883" s="44"/>
      <c r="W883" s="44"/>
      <c r="X883" s="121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</row>
    <row r="884">
      <c r="A884" s="44"/>
      <c r="B884" s="44"/>
      <c r="C884" s="44"/>
      <c r="D884" s="118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120"/>
      <c r="U884" s="44"/>
      <c r="V884" s="44"/>
      <c r="W884" s="44"/>
      <c r="X884" s="121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</row>
    <row r="885">
      <c r="A885" s="44"/>
      <c r="B885" s="44"/>
      <c r="C885" s="44"/>
      <c r="D885" s="118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120"/>
      <c r="U885" s="44"/>
      <c r="V885" s="44"/>
      <c r="W885" s="44"/>
      <c r="X885" s="121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</row>
    <row r="886">
      <c r="A886" s="44"/>
      <c r="B886" s="44"/>
      <c r="C886" s="44"/>
      <c r="D886" s="118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120"/>
      <c r="U886" s="44"/>
      <c r="V886" s="44"/>
      <c r="W886" s="44"/>
      <c r="X886" s="121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</row>
    <row r="887">
      <c r="A887" s="44"/>
      <c r="B887" s="44"/>
      <c r="C887" s="44"/>
      <c r="D887" s="118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120"/>
      <c r="U887" s="44"/>
      <c r="V887" s="44"/>
      <c r="W887" s="44"/>
      <c r="X887" s="121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</row>
    <row r="888">
      <c r="A888" s="44"/>
      <c r="B888" s="44"/>
      <c r="C888" s="44"/>
      <c r="D888" s="118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120"/>
      <c r="U888" s="44"/>
      <c r="V888" s="44"/>
      <c r="W888" s="44"/>
      <c r="X888" s="121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</row>
    <row r="889">
      <c r="A889" s="44"/>
      <c r="B889" s="44"/>
      <c r="C889" s="44"/>
      <c r="D889" s="118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120"/>
      <c r="U889" s="44"/>
      <c r="V889" s="44"/>
      <c r="W889" s="44"/>
      <c r="X889" s="121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</row>
    <row r="890">
      <c r="A890" s="44"/>
      <c r="B890" s="44"/>
      <c r="C890" s="44"/>
      <c r="D890" s="118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120"/>
      <c r="U890" s="44"/>
      <c r="V890" s="44"/>
      <c r="W890" s="44"/>
      <c r="X890" s="121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</row>
    <row r="891">
      <c r="A891" s="44"/>
      <c r="B891" s="44"/>
      <c r="C891" s="44"/>
      <c r="D891" s="118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120"/>
      <c r="U891" s="44"/>
      <c r="V891" s="44"/>
      <c r="W891" s="44"/>
      <c r="X891" s="121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</row>
    <row r="892">
      <c r="A892" s="44"/>
      <c r="B892" s="44"/>
      <c r="C892" s="44"/>
      <c r="D892" s="118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120"/>
      <c r="U892" s="44"/>
      <c r="V892" s="44"/>
      <c r="W892" s="44"/>
      <c r="X892" s="121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</row>
    <row r="893">
      <c r="A893" s="44"/>
      <c r="B893" s="44"/>
      <c r="C893" s="44"/>
      <c r="D893" s="118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120"/>
      <c r="U893" s="44"/>
      <c r="V893" s="44"/>
      <c r="W893" s="44"/>
      <c r="X893" s="121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</row>
    <row r="894">
      <c r="A894" s="44"/>
      <c r="B894" s="44"/>
      <c r="C894" s="44"/>
      <c r="D894" s="118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120"/>
      <c r="U894" s="44"/>
      <c r="V894" s="44"/>
      <c r="W894" s="44"/>
      <c r="X894" s="121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</row>
    <row r="895">
      <c r="A895" s="44"/>
      <c r="B895" s="44"/>
      <c r="C895" s="44"/>
      <c r="D895" s="118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120"/>
      <c r="U895" s="44"/>
      <c r="V895" s="44"/>
      <c r="W895" s="44"/>
      <c r="X895" s="121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</row>
    <row r="896">
      <c r="A896" s="44"/>
      <c r="B896" s="44"/>
      <c r="C896" s="44"/>
      <c r="D896" s="118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120"/>
      <c r="U896" s="44"/>
      <c r="V896" s="44"/>
      <c r="W896" s="44"/>
      <c r="X896" s="121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</row>
    <row r="897">
      <c r="A897" s="44"/>
      <c r="B897" s="44"/>
      <c r="C897" s="44"/>
      <c r="D897" s="118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120"/>
      <c r="U897" s="44"/>
      <c r="V897" s="44"/>
      <c r="W897" s="44"/>
      <c r="X897" s="121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</row>
    <row r="898">
      <c r="A898" s="44"/>
      <c r="B898" s="44"/>
      <c r="C898" s="44"/>
      <c r="D898" s="118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120"/>
      <c r="U898" s="44"/>
      <c r="V898" s="44"/>
      <c r="W898" s="44"/>
      <c r="X898" s="121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</row>
    <row r="899">
      <c r="A899" s="44"/>
      <c r="B899" s="44"/>
      <c r="C899" s="44"/>
      <c r="D899" s="118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120"/>
      <c r="U899" s="44"/>
      <c r="V899" s="44"/>
      <c r="W899" s="44"/>
      <c r="X899" s="121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</row>
    <row r="900">
      <c r="A900" s="44"/>
      <c r="B900" s="44"/>
      <c r="C900" s="44"/>
      <c r="D900" s="118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120"/>
      <c r="U900" s="44"/>
      <c r="V900" s="44"/>
      <c r="W900" s="44"/>
      <c r="X900" s="121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</row>
    <row r="901">
      <c r="A901" s="44"/>
      <c r="B901" s="44"/>
      <c r="C901" s="44"/>
      <c r="D901" s="118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120"/>
      <c r="U901" s="44"/>
      <c r="V901" s="44"/>
      <c r="W901" s="44"/>
      <c r="X901" s="121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</row>
    <row r="902">
      <c r="A902" s="44"/>
      <c r="B902" s="44"/>
      <c r="C902" s="44"/>
      <c r="D902" s="118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120"/>
      <c r="U902" s="44"/>
      <c r="V902" s="44"/>
      <c r="W902" s="44"/>
      <c r="X902" s="121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</row>
    <row r="903">
      <c r="A903" s="44"/>
      <c r="B903" s="44"/>
      <c r="C903" s="44"/>
      <c r="D903" s="118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120"/>
      <c r="U903" s="44"/>
      <c r="V903" s="44"/>
      <c r="W903" s="44"/>
      <c r="X903" s="121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</row>
    <row r="904">
      <c r="A904" s="44"/>
      <c r="B904" s="44"/>
      <c r="C904" s="44"/>
      <c r="D904" s="118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120"/>
      <c r="U904" s="44"/>
      <c r="V904" s="44"/>
      <c r="W904" s="44"/>
      <c r="X904" s="121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</row>
    <row r="905">
      <c r="A905" s="44"/>
      <c r="B905" s="44"/>
      <c r="C905" s="44"/>
      <c r="D905" s="118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120"/>
      <c r="U905" s="44"/>
      <c r="V905" s="44"/>
      <c r="W905" s="44"/>
      <c r="X905" s="121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</row>
    <row r="906">
      <c r="A906" s="44"/>
      <c r="B906" s="44"/>
      <c r="C906" s="44"/>
      <c r="D906" s="118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120"/>
      <c r="U906" s="44"/>
      <c r="V906" s="44"/>
      <c r="W906" s="44"/>
      <c r="X906" s="121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</row>
    <row r="907">
      <c r="A907" s="44"/>
      <c r="B907" s="44"/>
      <c r="C907" s="44"/>
      <c r="D907" s="118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120"/>
      <c r="U907" s="44"/>
      <c r="V907" s="44"/>
      <c r="W907" s="44"/>
      <c r="X907" s="121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</row>
    <row r="908">
      <c r="A908" s="44"/>
      <c r="B908" s="44"/>
      <c r="C908" s="44"/>
      <c r="D908" s="118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120"/>
      <c r="U908" s="44"/>
      <c r="V908" s="44"/>
      <c r="W908" s="44"/>
      <c r="X908" s="121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</row>
    <row r="909">
      <c r="A909" s="44"/>
      <c r="B909" s="44"/>
      <c r="C909" s="44"/>
      <c r="D909" s="118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120"/>
      <c r="U909" s="44"/>
      <c r="V909" s="44"/>
      <c r="W909" s="44"/>
      <c r="X909" s="121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</row>
    <row r="910">
      <c r="A910" s="44"/>
      <c r="B910" s="44"/>
      <c r="C910" s="44"/>
      <c r="D910" s="118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120"/>
      <c r="U910" s="44"/>
      <c r="V910" s="44"/>
      <c r="W910" s="44"/>
      <c r="X910" s="121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</row>
    <row r="911">
      <c r="A911" s="44"/>
      <c r="B911" s="44"/>
      <c r="C911" s="44"/>
      <c r="D911" s="118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120"/>
      <c r="U911" s="44"/>
      <c r="V911" s="44"/>
      <c r="W911" s="44"/>
      <c r="X911" s="121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</row>
    <row r="912">
      <c r="A912" s="44"/>
      <c r="B912" s="44"/>
      <c r="C912" s="44"/>
      <c r="D912" s="118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120"/>
      <c r="U912" s="44"/>
      <c r="V912" s="44"/>
      <c r="W912" s="44"/>
      <c r="X912" s="121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</row>
    <row r="913">
      <c r="A913" s="44"/>
      <c r="B913" s="44"/>
      <c r="C913" s="44"/>
      <c r="D913" s="118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120"/>
      <c r="U913" s="44"/>
      <c r="V913" s="44"/>
      <c r="W913" s="44"/>
      <c r="X913" s="121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</row>
    <row r="914">
      <c r="A914" s="44"/>
      <c r="B914" s="44"/>
      <c r="C914" s="44"/>
      <c r="D914" s="118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120"/>
      <c r="U914" s="44"/>
      <c r="V914" s="44"/>
      <c r="W914" s="44"/>
      <c r="X914" s="121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</row>
    <row r="915">
      <c r="A915" s="44"/>
      <c r="B915" s="44"/>
      <c r="C915" s="44"/>
      <c r="D915" s="118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120"/>
      <c r="U915" s="44"/>
      <c r="V915" s="44"/>
      <c r="W915" s="44"/>
      <c r="X915" s="121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</row>
    <row r="916">
      <c r="A916" s="44"/>
      <c r="B916" s="44"/>
      <c r="C916" s="44"/>
      <c r="D916" s="118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120"/>
      <c r="U916" s="44"/>
      <c r="V916" s="44"/>
      <c r="W916" s="44"/>
      <c r="X916" s="121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</row>
    <row r="917">
      <c r="A917" s="44"/>
      <c r="B917" s="44"/>
      <c r="C917" s="44"/>
      <c r="D917" s="118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120"/>
      <c r="U917" s="44"/>
      <c r="V917" s="44"/>
      <c r="W917" s="44"/>
      <c r="X917" s="121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</row>
    <row r="918">
      <c r="A918" s="44"/>
      <c r="B918" s="44"/>
      <c r="C918" s="44"/>
      <c r="D918" s="118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120"/>
      <c r="U918" s="44"/>
      <c r="V918" s="44"/>
      <c r="W918" s="44"/>
      <c r="X918" s="121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</row>
    <row r="919">
      <c r="A919" s="44"/>
      <c r="B919" s="44"/>
      <c r="C919" s="44"/>
      <c r="D919" s="118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120"/>
      <c r="U919" s="44"/>
      <c r="V919" s="44"/>
      <c r="W919" s="44"/>
      <c r="X919" s="121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</row>
    <row r="920">
      <c r="A920" s="44"/>
      <c r="B920" s="44"/>
      <c r="C920" s="44"/>
      <c r="D920" s="118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120"/>
      <c r="U920" s="44"/>
      <c r="V920" s="44"/>
      <c r="W920" s="44"/>
      <c r="X920" s="121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</row>
    <row r="921">
      <c r="A921" s="44"/>
      <c r="B921" s="44"/>
      <c r="C921" s="44"/>
      <c r="D921" s="118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120"/>
      <c r="U921" s="44"/>
      <c r="V921" s="44"/>
      <c r="W921" s="44"/>
      <c r="X921" s="121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</row>
    <row r="922">
      <c r="A922" s="44"/>
      <c r="B922" s="44"/>
      <c r="C922" s="44"/>
      <c r="D922" s="118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120"/>
      <c r="U922" s="44"/>
      <c r="V922" s="44"/>
      <c r="W922" s="44"/>
      <c r="X922" s="121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</row>
    <row r="923">
      <c r="A923" s="44"/>
      <c r="B923" s="44"/>
      <c r="C923" s="44"/>
      <c r="D923" s="118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120"/>
      <c r="U923" s="44"/>
      <c r="V923" s="44"/>
      <c r="W923" s="44"/>
      <c r="X923" s="121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</row>
    <row r="924">
      <c r="A924" s="44"/>
      <c r="B924" s="44"/>
      <c r="C924" s="44"/>
      <c r="D924" s="118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120"/>
      <c r="U924" s="44"/>
      <c r="V924" s="44"/>
      <c r="W924" s="44"/>
      <c r="X924" s="121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</row>
    <row r="925">
      <c r="A925" s="44"/>
      <c r="B925" s="44"/>
      <c r="C925" s="44"/>
      <c r="D925" s="118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120"/>
      <c r="U925" s="44"/>
      <c r="V925" s="44"/>
      <c r="W925" s="44"/>
      <c r="X925" s="121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</row>
    <row r="926">
      <c r="A926" s="44"/>
      <c r="B926" s="44"/>
      <c r="C926" s="44"/>
      <c r="D926" s="118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120"/>
      <c r="U926" s="44"/>
      <c r="V926" s="44"/>
      <c r="W926" s="44"/>
      <c r="X926" s="121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</row>
    <row r="927">
      <c r="A927" s="44"/>
      <c r="B927" s="44"/>
      <c r="C927" s="44"/>
      <c r="D927" s="118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120"/>
      <c r="U927" s="44"/>
      <c r="V927" s="44"/>
      <c r="W927" s="44"/>
      <c r="X927" s="121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</row>
    <row r="928">
      <c r="A928" s="44"/>
      <c r="B928" s="44"/>
      <c r="C928" s="44"/>
      <c r="D928" s="118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120"/>
      <c r="U928" s="44"/>
      <c r="V928" s="44"/>
      <c r="W928" s="44"/>
      <c r="X928" s="121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</row>
    <row r="929">
      <c r="A929" s="44"/>
      <c r="B929" s="44"/>
      <c r="C929" s="44"/>
      <c r="D929" s="118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120"/>
      <c r="U929" s="44"/>
      <c r="V929" s="44"/>
      <c r="W929" s="44"/>
      <c r="X929" s="121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</row>
    <row r="930">
      <c r="A930" s="44"/>
      <c r="B930" s="44"/>
      <c r="C930" s="44"/>
      <c r="D930" s="118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120"/>
      <c r="U930" s="44"/>
      <c r="V930" s="44"/>
      <c r="W930" s="44"/>
      <c r="X930" s="121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</row>
    <row r="931">
      <c r="A931" s="44"/>
      <c r="B931" s="44"/>
      <c r="C931" s="44"/>
      <c r="D931" s="118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120"/>
      <c r="U931" s="44"/>
      <c r="V931" s="44"/>
      <c r="W931" s="44"/>
      <c r="X931" s="121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</row>
    <row r="932">
      <c r="A932" s="44"/>
      <c r="B932" s="44"/>
      <c r="C932" s="44"/>
      <c r="D932" s="118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120"/>
      <c r="U932" s="44"/>
      <c r="V932" s="44"/>
      <c r="W932" s="44"/>
      <c r="X932" s="121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</row>
    <row r="933">
      <c r="A933" s="44"/>
      <c r="B933" s="44"/>
      <c r="C933" s="44"/>
      <c r="D933" s="118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120"/>
      <c r="U933" s="44"/>
      <c r="V933" s="44"/>
      <c r="W933" s="44"/>
      <c r="X933" s="121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</row>
    <row r="934">
      <c r="A934" s="44"/>
      <c r="B934" s="44"/>
      <c r="C934" s="44"/>
      <c r="D934" s="118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120"/>
      <c r="U934" s="44"/>
      <c r="V934" s="44"/>
      <c r="W934" s="44"/>
      <c r="X934" s="121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</row>
    <row r="935">
      <c r="A935" s="44"/>
      <c r="B935" s="44"/>
      <c r="C935" s="44"/>
      <c r="D935" s="118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120"/>
      <c r="U935" s="44"/>
      <c r="V935" s="44"/>
      <c r="W935" s="44"/>
      <c r="X935" s="121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</row>
    <row r="936">
      <c r="A936" s="44"/>
      <c r="B936" s="44"/>
      <c r="C936" s="44"/>
      <c r="D936" s="118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120"/>
      <c r="U936" s="44"/>
      <c r="V936" s="44"/>
      <c r="W936" s="44"/>
      <c r="X936" s="121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</row>
    <row r="937">
      <c r="A937" s="44"/>
      <c r="B937" s="44"/>
      <c r="C937" s="44"/>
      <c r="D937" s="118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120"/>
      <c r="U937" s="44"/>
      <c r="V937" s="44"/>
      <c r="W937" s="44"/>
      <c r="X937" s="121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</row>
    <row r="938">
      <c r="A938" s="44"/>
      <c r="B938" s="44"/>
      <c r="C938" s="44"/>
      <c r="D938" s="118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120"/>
      <c r="U938" s="44"/>
      <c r="V938" s="44"/>
      <c r="W938" s="44"/>
      <c r="X938" s="121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</row>
    <row r="939">
      <c r="A939" s="44"/>
      <c r="B939" s="44"/>
      <c r="C939" s="44"/>
      <c r="D939" s="118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120"/>
      <c r="U939" s="44"/>
      <c r="V939" s="44"/>
      <c r="W939" s="44"/>
      <c r="X939" s="121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</row>
    <row r="940">
      <c r="A940" s="44"/>
      <c r="B940" s="44"/>
      <c r="C940" s="44"/>
      <c r="D940" s="118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120"/>
      <c r="U940" s="44"/>
      <c r="V940" s="44"/>
      <c r="W940" s="44"/>
      <c r="X940" s="121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</row>
    <row r="941">
      <c r="A941" s="44"/>
      <c r="B941" s="44"/>
      <c r="C941" s="44"/>
      <c r="D941" s="118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120"/>
      <c r="U941" s="44"/>
      <c r="V941" s="44"/>
      <c r="W941" s="44"/>
      <c r="X941" s="121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</row>
    <row r="942">
      <c r="A942" s="44"/>
      <c r="B942" s="44"/>
      <c r="C942" s="44"/>
      <c r="D942" s="118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120"/>
      <c r="U942" s="44"/>
      <c r="V942" s="44"/>
      <c r="W942" s="44"/>
      <c r="X942" s="121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</row>
    <row r="943">
      <c r="A943" s="44"/>
      <c r="B943" s="44"/>
      <c r="C943" s="44"/>
      <c r="D943" s="118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120"/>
      <c r="U943" s="44"/>
      <c r="V943" s="44"/>
      <c r="W943" s="44"/>
      <c r="X943" s="121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</row>
    <row r="944">
      <c r="A944" s="44"/>
      <c r="B944" s="44"/>
      <c r="C944" s="44"/>
      <c r="D944" s="118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120"/>
      <c r="U944" s="44"/>
      <c r="V944" s="44"/>
      <c r="W944" s="44"/>
      <c r="X944" s="121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</row>
    <row r="945">
      <c r="A945" s="44"/>
      <c r="B945" s="44"/>
      <c r="C945" s="44"/>
      <c r="D945" s="118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120"/>
      <c r="U945" s="44"/>
      <c r="V945" s="44"/>
      <c r="W945" s="44"/>
      <c r="X945" s="121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</row>
    <row r="946">
      <c r="A946" s="44"/>
      <c r="B946" s="44"/>
      <c r="C946" s="44"/>
      <c r="D946" s="118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120"/>
      <c r="U946" s="44"/>
      <c r="V946" s="44"/>
      <c r="W946" s="44"/>
      <c r="X946" s="121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</row>
    <row r="947">
      <c r="A947" s="44"/>
      <c r="B947" s="44"/>
      <c r="C947" s="44"/>
      <c r="D947" s="118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120"/>
      <c r="U947" s="44"/>
      <c r="V947" s="44"/>
      <c r="W947" s="44"/>
      <c r="X947" s="121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</row>
    <row r="948">
      <c r="A948" s="44"/>
      <c r="B948" s="44"/>
      <c r="C948" s="44"/>
      <c r="D948" s="118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120"/>
      <c r="U948" s="44"/>
      <c r="V948" s="44"/>
      <c r="W948" s="44"/>
      <c r="X948" s="121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</row>
    <row r="949">
      <c r="A949" s="44"/>
      <c r="B949" s="44"/>
      <c r="C949" s="44"/>
      <c r="D949" s="118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120"/>
      <c r="U949" s="44"/>
      <c r="V949" s="44"/>
      <c r="W949" s="44"/>
      <c r="X949" s="121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</row>
    <row r="950">
      <c r="A950" s="44"/>
      <c r="B950" s="44"/>
      <c r="C950" s="44"/>
      <c r="D950" s="118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120"/>
      <c r="U950" s="44"/>
      <c r="V950" s="44"/>
      <c r="W950" s="44"/>
      <c r="X950" s="121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</row>
    <row r="951">
      <c r="A951" s="44"/>
      <c r="B951" s="44"/>
      <c r="C951" s="44"/>
      <c r="D951" s="118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120"/>
      <c r="U951" s="44"/>
      <c r="V951" s="44"/>
      <c r="W951" s="44"/>
      <c r="X951" s="121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</row>
    <row r="952">
      <c r="A952" s="44"/>
      <c r="B952" s="44"/>
      <c r="C952" s="44"/>
      <c r="D952" s="118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120"/>
      <c r="U952" s="44"/>
      <c r="V952" s="44"/>
      <c r="W952" s="44"/>
      <c r="X952" s="121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</row>
    <row r="953">
      <c r="A953" s="44"/>
      <c r="B953" s="44"/>
      <c r="C953" s="44"/>
      <c r="D953" s="118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120"/>
      <c r="U953" s="44"/>
      <c r="V953" s="44"/>
      <c r="W953" s="44"/>
      <c r="X953" s="121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</row>
    <row r="954">
      <c r="A954" s="44"/>
      <c r="B954" s="44"/>
      <c r="C954" s="44"/>
      <c r="D954" s="118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120"/>
      <c r="U954" s="44"/>
      <c r="V954" s="44"/>
      <c r="W954" s="44"/>
      <c r="X954" s="121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</row>
    <row r="955">
      <c r="A955" s="44"/>
      <c r="B955" s="44"/>
      <c r="C955" s="44"/>
      <c r="D955" s="118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120"/>
      <c r="U955" s="44"/>
      <c r="V955" s="44"/>
      <c r="W955" s="44"/>
      <c r="X955" s="121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</row>
    <row r="956">
      <c r="A956" s="44"/>
      <c r="B956" s="44"/>
      <c r="C956" s="44"/>
      <c r="D956" s="118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120"/>
      <c r="U956" s="44"/>
      <c r="V956" s="44"/>
      <c r="W956" s="44"/>
      <c r="X956" s="121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</row>
    <row r="957">
      <c r="A957" s="44"/>
      <c r="B957" s="44"/>
      <c r="C957" s="44"/>
      <c r="D957" s="118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120"/>
      <c r="U957" s="44"/>
      <c r="V957" s="44"/>
      <c r="W957" s="44"/>
      <c r="X957" s="121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</row>
    <row r="958">
      <c r="A958" s="44"/>
      <c r="B958" s="44"/>
      <c r="C958" s="44"/>
      <c r="D958" s="118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120"/>
      <c r="U958" s="44"/>
      <c r="V958" s="44"/>
      <c r="W958" s="44"/>
      <c r="X958" s="121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</row>
    <row r="959">
      <c r="A959" s="44"/>
      <c r="B959" s="44"/>
      <c r="C959" s="44"/>
      <c r="D959" s="118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120"/>
      <c r="U959" s="44"/>
      <c r="V959" s="44"/>
      <c r="W959" s="44"/>
      <c r="X959" s="121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</row>
    <row r="960">
      <c r="A960" s="44"/>
      <c r="B960" s="44"/>
      <c r="C960" s="44"/>
      <c r="D960" s="118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120"/>
      <c r="U960" s="44"/>
      <c r="V960" s="44"/>
      <c r="W960" s="44"/>
      <c r="X960" s="121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</row>
    <row r="961">
      <c r="A961" s="44"/>
      <c r="B961" s="44"/>
      <c r="C961" s="44"/>
      <c r="D961" s="118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120"/>
      <c r="U961" s="44"/>
      <c r="V961" s="44"/>
      <c r="W961" s="44"/>
      <c r="X961" s="121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</row>
    <row r="962">
      <c r="A962" s="44"/>
      <c r="B962" s="44"/>
      <c r="C962" s="44"/>
      <c r="D962" s="118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120"/>
      <c r="U962" s="44"/>
      <c r="V962" s="44"/>
      <c r="W962" s="44"/>
      <c r="X962" s="121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</row>
    <row r="963">
      <c r="A963" s="44"/>
      <c r="B963" s="44"/>
      <c r="C963" s="44"/>
      <c r="D963" s="118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120"/>
      <c r="U963" s="44"/>
      <c r="V963" s="44"/>
      <c r="W963" s="44"/>
      <c r="X963" s="121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</row>
    <row r="964">
      <c r="A964" s="44"/>
      <c r="B964" s="44"/>
      <c r="C964" s="44"/>
      <c r="D964" s="118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120"/>
      <c r="U964" s="44"/>
      <c r="V964" s="44"/>
      <c r="W964" s="44"/>
      <c r="X964" s="121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</row>
    <row r="965">
      <c r="A965" s="44"/>
      <c r="B965" s="44"/>
      <c r="C965" s="44"/>
      <c r="D965" s="118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120"/>
      <c r="U965" s="44"/>
      <c r="V965" s="44"/>
      <c r="W965" s="44"/>
      <c r="X965" s="121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</row>
    <row r="966">
      <c r="A966" s="44"/>
      <c r="B966" s="44"/>
      <c r="C966" s="44"/>
      <c r="D966" s="118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120"/>
      <c r="U966" s="44"/>
      <c r="V966" s="44"/>
      <c r="W966" s="44"/>
      <c r="X966" s="121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</row>
    <row r="967">
      <c r="A967" s="44"/>
      <c r="B967" s="44"/>
      <c r="C967" s="44"/>
      <c r="D967" s="118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120"/>
      <c r="U967" s="44"/>
      <c r="V967" s="44"/>
      <c r="W967" s="44"/>
      <c r="X967" s="121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</row>
    <row r="968">
      <c r="A968" s="44"/>
      <c r="B968" s="44"/>
      <c r="C968" s="44"/>
      <c r="D968" s="118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120"/>
      <c r="U968" s="44"/>
      <c r="V968" s="44"/>
      <c r="W968" s="44"/>
      <c r="X968" s="121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</row>
    <row r="969">
      <c r="A969" s="44"/>
      <c r="B969" s="44"/>
      <c r="C969" s="44"/>
      <c r="D969" s="118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120"/>
      <c r="U969" s="44"/>
      <c r="V969" s="44"/>
      <c r="W969" s="44"/>
      <c r="X969" s="121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</row>
    <row r="970">
      <c r="A970" s="44"/>
      <c r="B970" s="44"/>
      <c r="C970" s="44"/>
      <c r="D970" s="118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120"/>
      <c r="U970" s="44"/>
      <c r="V970" s="44"/>
      <c r="W970" s="44"/>
      <c r="X970" s="121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</row>
    <row r="971">
      <c r="A971" s="44"/>
      <c r="B971" s="44"/>
      <c r="C971" s="44"/>
      <c r="D971" s="118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120"/>
      <c r="U971" s="44"/>
      <c r="V971" s="44"/>
      <c r="W971" s="44"/>
      <c r="X971" s="121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</row>
    <row r="972">
      <c r="A972" s="44"/>
      <c r="B972" s="44"/>
      <c r="C972" s="44"/>
      <c r="D972" s="118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120"/>
      <c r="U972" s="44"/>
      <c r="V972" s="44"/>
      <c r="W972" s="44"/>
      <c r="X972" s="121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</row>
    <row r="973">
      <c r="A973" s="44"/>
      <c r="B973" s="44"/>
      <c r="C973" s="44"/>
      <c r="D973" s="118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120"/>
      <c r="U973" s="44"/>
      <c r="V973" s="44"/>
      <c r="W973" s="44"/>
      <c r="X973" s="121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</row>
    <row r="974">
      <c r="A974" s="44"/>
      <c r="B974" s="44"/>
      <c r="C974" s="44"/>
      <c r="D974" s="118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120"/>
      <c r="U974" s="44"/>
      <c r="V974" s="44"/>
      <c r="W974" s="44"/>
      <c r="X974" s="121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</row>
    <row r="975">
      <c r="A975" s="44"/>
      <c r="B975" s="44"/>
      <c r="C975" s="44"/>
      <c r="D975" s="118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120"/>
      <c r="U975" s="44"/>
      <c r="V975" s="44"/>
      <c r="W975" s="44"/>
      <c r="X975" s="121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</row>
    <row r="976">
      <c r="A976" s="44"/>
      <c r="B976" s="44"/>
      <c r="C976" s="44"/>
      <c r="D976" s="118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120"/>
      <c r="U976" s="44"/>
      <c r="V976" s="44"/>
      <c r="W976" s="44"/>
      <c r="X976" s="121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</row>
    <row r="977">
      <c r="A977" s="44"/>
      <c r="B977" s="44"/>
      <c r="C977" s="44"/>
      <c r="D977" s="118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120"/>
      <c r="U977" s="44"/>
      <c r="V977" s="44"/>
      <c r="W977" s="44"/>
      <c r="X977" s="121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</row>
    <row r="978">
      <c r="A978" s="44"/>
      <c r="B978" s="44"/>
      <c r="C978" s="44"/>
      <c r="D978" s="118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120"/>
      <c r="U978" s="44"/>
      <c r="V978" s="44"/>
      <c r="W978" s="44"/>
      <c r="X978" s="121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</row>
    <row r="979">
      <c r="A979" s="44"/>
      <c r="B979" s="44"/>
      <c r="C979" s="44"/>
      <c r="D979" s="118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120"/>
      <c r="U979" s="44"/>
      <c r="V979" s="44"/>
      <c r="W979" s="44"/>
      <c r="X979" s="121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</row>
    <row r="980">
      <c r="A980" s="44"/>
      <c r="B980" s="44"/>
      <c r="C980" s="44"/>
      <c r="D980" s="118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120"/>
      <c r="U980" s="44"/>
      <c r="V980" s="44"/>
      <c r="W980" s="44"/>
      <c r="X980" s="121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</row>
    <row r="981">
      <c r="A981" s="44"/>
      <c r="B981" s="44"/>
      <c r="C981" s="44"/>
      <c r="D981" s="118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120"/>
      <c r="U981" s="44"/>
      <c r="V981" s="44"/>
      <c r="W981" s="44"/>
      <c r="X981" s="121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</row>
    <row r="982">
      <c r="A982" s="44"/>
      <c r="B982" s="44"/>
      <c r="C982" s="44"/>
      <c r="D982" s="118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120"/>
      <c r="U982" s="44"/>
      <c r="V982" s="44"/>
      <c r="W982" s="44"/>
      <c r="X982" s="121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</row>
    <row r="983">
      <c r="A983" s="44"/>
      <c r="B983" s="44"/>
      <c r="C983" s="44"/>
      <c r="D983" s="118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120"/>
      <c r="U983" s="44"/>
      <c r="V983" s="44"/>
      <c r="W983" s="44"/>
      <c r="X983" s="121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</row>
    <row r="984">
      <c r="A984" s="44"/>
      <c r="B984" s="44"/>
      <c r="C984" s="44"/>
      <c r="D984" s="118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120"/>
      <c r="U984" s="44"/>
      <c r="V984" s="44"/>
      <c r="W984" s="44"/>
      <c r="X984" s="121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</row>
    <row r="985">
      <c r="A985" s="44"/>
      <c r="B985" s="44"/>
      <c r="C985" s="44"/>
      <c r="D985" s="118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120"/>
      <c r="U985" s="44"/>
      <c r="V985" s="44"/>
      <c r="W985" s="44"/>
      <c r="X985" s="121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</row>
    <row r="986">
      <c r="A986" s="44"/>
      <c r="B986" s="44"/>
      <c r="C986" s="44"/>
      <c r="D986" s="118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120"/>
      <c r="U986" s="44"/>
      <c r="V986" s="44"/>
      <c r="W986" s="44"/>
      <c r="X986" s="121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</row>
    <row r="987">
      <c r="A987" s="44"/>
      <c r="B987" s="44"/>
      <c r="C987" s="44"/>
      <c r="D987" s="118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120"/>
      <c r="U987" s="44"/>
      <c r="V987" s="44"/>
      <c r="W987" s="44"/>
      <c r="X987" s="121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</row>
    <row r="988">
      <c r="A988" s="44"/>
      <c r="B988" s="44"/>
      <c r="C988" s="44"/>
      <c r="D988" s="118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120"/>
      <c r="U988" s="44"/>
      <c r="V988" s="44"/>
      <c r="W988" s="44"/>
      <c r="X988" s="121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</row>
    <row r="989">
      <c r="A989" s="44"/>
      <c r="B989" s="44"/>
      <c r="C989" s="44"/>
      <c r="D989" s="118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120"/>
      <c r="U989" s="44"/>
      <c r="V989" s="44"/>
      <c r="W989" s="44"/>
      <c r="X989" s="121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</row>
    <row r="990">
      <c r="A990" s="44"/>
      <c r="B990" s="44"/>
      <c r="C990" s="44"/>
      <c r="D990" s="118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120"/>
      <c r="U990" s="44"/>
      <c r="V990" s="44"/>
      <c r="W990" s="44"/>
      <c r="X990" s="121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</row>
  </sheetData>
  <conditionalFormatting sqref="X11:X39">
    <cfRule type="colorScale" priority="1">
      <colorScale>
        <cfvo type="min"/>
        <cfvo type="formula" val="0"/>
        <cfvo type="max"/>
        <color rgb="FFF4CCCC"/>
        <color rgb="FFFFF2CC"/>
        <color rgb="FFD9EAD3"/>
      </colorScale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9">
      <c r="B29" s="24"/>
      <c r="C29" s="21" t="s">
        <v>105</v>
      </c>
      <c r="D29" s="32" t="s">
        <v>86</v>
      </c>
    </row>
    <row r="30">
      <c r="B30" s="24"/>
      <c r="C30" s="32" t="s">
        <v>150</v>
      </c>
      <c r="D30" s="32" t="s">
        <v>149</v>
      </c>
      <c r="G30" s="55" t="s">
        <v>105</v>
      </c>
      <c r="H30" s="246">
        <v>1200000.0</v>
      </c>
      <c r="I30" s="55" t="s">
        <v>336</v>
      </c>
      <c r="J30" s="55" t="s">
        <v>337</v>
      </c>
    </row>
    <row r="31">
      <c r="B31" s="24"/>
      <c r="C31" s="32">
        <v>3.0</v>
      </c>
      <c r="D31" s="32">
        <v>1.0</v>
      </c>
      <c r="G31" s="55" t="s">
        <v>106</v>
      </c>
      <c r="H31" s="55">
        <v>120000.0</v>
      </c>
      <c r="I31" s="55" t="s">
        <v>338</v>
      </c>
      <c r="J31" s="55" t="s">
        <v>339</v>
      </c>
    </row>
    <row r="32">
      <c r="B32" s="24"/>
      <c r="C32" s="32">
        <v>4.0</v>
      </c>
      <c r="D32" s="32">
        <v>2.0</v>
      </c>
    </row>
    <row r="33">
      <c r="B33" s="24"/>
      <c r="C33" s="32">
        <v>7.0</v>
      </c>
      <c r="D33" s="32">
        <v>3.0</v>
      </c>
    </row>
    <row r="34">
      <c r="B34" s="24"/>
      <c r="C34" s="32">
        <v>9.0</v>
      </c>
      <c r="D34" s="32">
        <v>4.0</v>
      </c>
    </row>
    <row r="35">
      <c r="B35" s="24"/>
      <c r="C35" s="32">
        <v>12.0</v>
      </c>
      <c r="D35" s="32">
        <v>5.0</v>
      </c>
    </row>
    <row r="37">
      <c r="C37" s="247" t="s">
        <v>106</v>
      </c>
    </row>
    <row r="38">
      <c r="B38" s="24"/>
      <c r="C38" s="32" t="s">
        <v>150</v>
      </c>
      <c r="D38" s="32" t="s">
        <v>149</v>
      </c>
    </row>
    <row r="39">
      <c r="B39" s="32" t="s">
        <v>340</v>
      </c>
      <c r="C39" s="32">
        <v>3.5</v>
      </c>
      <c r="D39" s="32">
        <v>1.0</v>
      </c>
    </row>
    <row r="40">
      <c r="B40" s="32" t="s">
        <v>341</v>
      </c>
      <c r="C40" s="32">
        <v>4.0</v>
      </c>
      <c r="D40" s="32">
        <v>2.0</v>
      </c>
    </row>
    <row r="41">
      <c r="B41" s="32" t="s">
        <v>129</v>
      </c>
      <c r="C41" s="32">
        <v>4.5</v>
      </c>
      <c r="D41" s="32">
        <v>3.0</v>
      </c>
    </row>
    <row r="42">
      <c r="B42" s="32" t="s">
        <v>131</v>
      </c>
      <c r="C42" s="32">
        <v>4.75</v>
      </c>
      <c r="D42" s="32">
        <v>4.0</v>
      </c>
    </row>
    <row r="43">
      <c r="B43" s="32" t="s">
        <v>123</v>
      </c>
      <c r="C43" s="32">
        <v>5.0</v>
      </c>
      <c r="D43" s="32">
        <v>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49.88"/>
  </cols>
  <sheetData>
    <row r="4">
      <c r="B4" s="247" t="s">
        <v>342</v>
      </c>
    </row>
    <row r="6">
      <c r="A6" s="55">
        <v>1.0</v>
      </c>
      <c r="B6" s="247" t="s">
        <v>343</v>
      </c>
      <c r="C6" s="247" t="s">
        <v>91</v>
      </c>
    </row>
    <row r="7">
      <c r="B7" s="55" t="s">
        <v>344</v>
      </c>
    </row>
    <row r="8">
      <c r="B8" s="55" t="s">
        <v>345</v>
      </c>
    </row>
    <row r="11">
      <c r="A11" s="55">
        <v>2.0</v>
      </c>
      <c r="B11" s="247" t="s">
        <v>346</v>
      </c>
    </row>
    <row r="12">
      <c r="B12" s="55" t="s">
        <v>347</v>
      </c>
    </row>
    <row r="13">
      <c r="B13" s="55" t="s">
        <v>348</v>
      </c>
    </row>
    <row r="14">
      <c r="B14" s="55" t="s">
        <v>349</v>
      </c>
    </row>
    <row r="15">
      <c r="B15" s="55" t="s">
        <v>350</v>
      </c>
    </row>
    <row r="17">
      <c r="B17" s="247" t="s">
        <v>351</v>
      </c>
    </row>
    <row r="18">
      <c r="A18" s="55"/>
      <c r="B18" s="55" t="s">
        <v>352</v>
      </c>
    </row>
    <row r="19">
      <c r="A19" s="55"/>
      <c r="B19" s="55" t="s">
        <v>353</v>
      </c>
    </row>
    <row r="20">
      <c r="A20" s="55"/>
      <c r="B20" s="248" t="s">
        <v>354</v>
      </c>
    </row>
    <row r="21">
      <c r="A21" s="55"/>
      <c r="B21" s="55" t="s">
        <v>355</v>
      </c>
    </row>
    <row r="22">
      <c r="A22" s="55"/>
      <c r="B22" s="247"/>
    </row>
    <row r="23">
      <c r="A23" s="55">
        <v>3.0</v>
      </c>
      <c r="B23" s="247" t="s">
        <v>356</v>
      </c>
    </row>
    <row r="24">
      <c r="B24" s="55" t="s">
        <v>357</v>
      </c>
      <c r="C24" s="55" t="s">
        <v>358</v>
      </c>
    </row>
    <row r="25">
      <c r="B25" s="2" t="s">
        <v>359</v>
      </c>
    </row>
    <row r="26">
      <c r="B26" s="249" t="s">
        <v>360</v>
      </c>
    </row>
    <row r="29">
      <c r="A29" s="55">
        <v>4.0</v>
      </c>
      <c r="B29" s="247" t="s">
        <v>361</v>
      </c>
    </row>
    <row r="30">
      <c r="B30" s="55" t="s">
        <v>362</v>
      </c>
    </row>
    <row r="31">
      <c r="B31" s="247"/>
    </row>
    <row r="32">
      <c r="B32" s="247"/>
    </row>
    <row r="33">
      <c r="B33" s="250" t="s">
        <v>363</v>
      </c>
    </row>
    <row r="34">
      <c r="B34" s="247"/>
    </row>
    <row r="35">
      <c r="B35" s="24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4" max="6" width="12.63"/>
    <col customWidth="1" min="7" max="7" width="12.25"/>
    <col customWidth="1" min="8" max="8" width="12.5"/>
  </cols>
  <sheetData>
    <row r="1">
      <c r="A1" s="251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</row>
    <row r="2">
      <c r="A2" s="251"/>
      <c r="B2" s="251"/>
      <c r="C2" s="252" t="s">
        <v>364</v>
      </c>
      <c r="D2" s="253">
        <v>1.5773353E7</v>
      </c>
      <c r="E2" s="253">
        <v>1.3841282E7</v>
      </c>
      <c r="F2" s="253">
        <v>8714096.0</v>
      </c>
      <c r="G2" s="254">
        <v>6386190.0</v>
      </c>
      <c r="H2" s="254">
        <v>5540254.0</v>
      </c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</row>
    <row r="3">
      <c r="A3" s="251"/>
      <c r="B3" s="251"/>
      <c r="C3" s="255" t="s">
        <v>365</v>
      </c>
      <c r="D3" s="256">
        <f t="shared" ref="D3:G3" si="1">if(D10&lt;0,D2,D10)</f>
        <v>27745614</v>
      </c>
      <c r="E3" s="256">
        <f t="shared" si="1"/>
        <v>36881832</v>
      </c>
      <c r="F3" s="256">
        <f t="shared" si="1"/>
        <v>13326534</v>
      </c>
      <c r="G3" s="256">
        <f t="shared" si="1"/>
        <v>6386190</v>
      </c>
      <c r="H3" s="257">
        <v>3.2432432E7</v>
      </c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</row>
    <row r="4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</row>
    <row r="5">
      <c r="A5" s="251"/>
      <c r="B5" s="251"/>
      <c r="C5" s="258"/>
      <c r="D5" s="255">
        <v>2025.0</v>
      </c>
      <c r="E5" s="255">
        <v>2024.0</v>
      </c>
      <c r="F5" s="255">
        <v>2023.0</v>
      </c>
      <c r="G5" s="255">
        <v>2022.0</v>
      </c>
      <c r="H5" s="252">
        <v>2021.0</v>
      </c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>
      <c r="A6" s="251"/>
      <c r="B6" s="251"/>
      <c r="C6" s="255" t="s">
        <v>366</v>
      </c>
      <c r="D6" s="259">
        <v>4624269.0</v>
      </c>
      <c r="E6" s="259">
        <v>6146972.0</v>
      </c>
      <c r="F6" s="259">
        <v>2221089.0</v>
      </c>
      <c r="G6" s="260">
        <v>-690139.0</v>
      </c>
      <c r="H6" s="257">
        <v>2866596.0</v>
      </c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</row>
    <row r="7">
      <c r="A7" s="251"/>
      <c r="B7" s="251"/>
      <c r="C7" s="258"/>
      <c r="D7" s="258"/>
      <c r="E7" s="258"/>
      <c r="F7" s="258"/>
      <c r="G7" s="258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</row>
    <row r="8">
      <c r="A8" s="251"/>
      <c r="B8" s="251"/>
      <c r="C8" s="255" t="s">
        <v>367</v>
      </c>
      <c r="D8" s="255">
        <v>6.0</v>
      </c>
      <c r="E8" s="255">
        <v>6.0</v>
      </c>
      <c r="F8" s="255">
        <v>6.0</v>
      </c>
      <c r="G8" s="255">
        <v>6.0</v>
      </c>
      <c r="H8" s="252">
        <v>6.0</v>
      </c>
      <c r="I8" s="252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</row>
    <row r="9">
      <c r="A9" s="251"/>
      <c r="B9" s="251"/>
      <c r="C9" s="258"/>
      <c r="D9" s="258"/>
      <c r="E9" s="258"/>
      <c r="F9" s="258"/>
      <c r="G9" s="258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</row>
    <row r="10">
      <c r="A10" s="251"/>
      <c r="B10" s="251"/>
      <c r="C10" s="255" t="s">
        <v>368</v>
      </c>
      <c r="D10" s="256">
        <f t="shared" ref="D10:H10" si="2">D6*D8</f>
        <v>27745614</v>
      </c>
      <c r="E10" s="256">
        <f t="shared" si="2"/>
        <v>36881832</v>
      </c>
      <c r="F10" s="256">
        <f t="shared" si="2"/>
        <v>13326534</v>
      </c>
      <c r="G10" s="256">
        <f t="shared" si="2"/>
        <v>-4140834</v>
      </c>
      <c r="H10" s="261">
        <f t="shared" si="2"/>
        <v>17199576</v>
      </c>
      <c r="I10" s="262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</row>
    <row r="11">
      <c r="A11" s="251"/>
      <c r="B11" s="251"/>
      <c r="C11" s="258"/>
      <c r="D11" s="256"/>
      <c r="E11" s="256"/>
      <c r="F11" s="256"/>
      <c r="G11" s="256"/>
      <c r="H11" s="26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</row>
    <row r="12">
      <c r="A12" s="251"/>
      <c r="B12" s="251"/>
      <c r="C12" s="255" t="s">
        <v>16</v>
      </c>
      <c r="D12" s="263">
        <v>3.2432432E7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</row>
    <row r="13">
      <c r="A13" s="251"/>
      <c r="B13" s="251"/>
      <c r="C13" s="24"/>
      <c r="D13" s="24"/>
      <c r="E13" s="264"/>
      <c r="F13" s="264"/>
      <c r="G13" s="264"/>
      <c r="H13" s="26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</row>
    <row r="14">
      <c r="A14" s="251"/>
      <c r="B14" s="251"/>
      <c r="C14" s="255" t="s">
        <v>369</v>
      </c>
      <c r="D14" s="265">
        <f>D3/D12</f>
        <v>0.8554897764</v>
      </c>
      <c r="E14" s="263">
        <v>3.2432432E7</v>
      </c>
      <c r="F14" s="263">
        <v>3.2432432E7</v>
      </c>
      <c r="G14" s="263">
        <v>3.2432432E7</v>
      </c>
      <c r="H14" s="261">
        <f>if(H10&lt;0,H2,H10)</f>
        <v>17199576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</row>
    <row r="15">
      <c r="A15" s="251"/>
      <c r="B15" s="251"/>
      <c r="E15" s="24"/>
      <c r="F15" s="24"/>
      <c r="G15" s="24"/>
      <c r="H15" s="266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</row>
    <row r="16">
      <c r="A16" s="251"/>
      <c r="B16" s="251"/>
      <c r="E16" s="265">
        <f t="shared" ref="E16:G16" si="3">E3/E14</f>
        <v>1.137189835</v>
      </c>
      <c r="F16" s="265">
        <f t="shared" si="3"/>
        <v>0.4109014705</v>
      </c>
      <c r="G16" s="265">
        <f t="shared" si="3"/>
        <v>0.1969075276</v>
      </c>
      <c r="H16" s="26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</row>
    <row r="17">
      <c r="A17" s="251"/>
      <c r="B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</row>
    <row r="18">
      <c r="A18" s="251"/>
      <c r="B18" s="251"/>
      <c r="H18" s="262">
        <f>H14/H3</f>
        <v>0.5303202671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</row>
    <row r="19">
      <c r="A19" s="251"/>
      <c r="B19" s="251"/>
      <c r="C19" s="251"/>
      <c r="D19" s="252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</row>
    <row r="20">
      <c r="A20" s="251"/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</row>
    <row r="21">
      <c r="A21" s="251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</row>
    <row r="22">
      <c r="A22" s="251"/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</row>
    <row r="23">
      <c r="A23" s="251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</row>
    <row r="24">
      <c r="A24" s="251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</row>
    <row r="25">
      <c r="A25" s="251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</row>
    <row r="26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</row>
    <row r="27">
      <c r="A27" s="251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</row>
    <row r="28">
      <c r="A28" s="251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</row>
    <row r="29">
      <c r="A29" s="251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</row>
    <row r="30">
      <c r="A30" s="251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</row>
    <row r="31">
      <c r="A31" s="251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</row>
    <row r="32">
      <c r="A32" s="251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</row>
    <row r="33">
      <c r="A33" s="251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</row>
    <row r="34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</row>
    <row r="35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</row>
    <row r="36">
      <c r="A36" s="251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</row>
    <row r="37">
      <c r="A37" s="251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</row>
    <row r="38">
      <c r="A38" s="251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</row>
    <row r="39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</row>
    <row r="40">
      <c r="A40" s="251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</row>
    <row r="41">
      <c r="A41" s="251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</row>
    <row r="42">
      <c r="A42" s="251"/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</row>
    <row r="43">
      <c r="A43" s="251"/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</row>
    <row r="44">
      <c r="A44" s="251"/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</row>
    <row r="45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</row>
    <row r="46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</row>
    <row r="47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</row>
    <row r="48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</row>
    <row r="49">
      <c r="A49" s="251"/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</row>
    <row r="50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</row>
    <row r="51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</row>
    <row r="52">
      <c r="A52" s="251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</row>
    <row r="53">
      <c r="A53" s="251"/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</row>
    <row r="54">
      <c r="A54" s="251"/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</row>
    <row r="55">
      <c r="A55" s="251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</row>
    <row r="56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</row>
    <row r="57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</row>
    <row r="58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</row>
    <row r="59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</row>
    <row r="60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</row>
    <row r="61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</row>
    <row r="62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</row>
    <row r="63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</row>
    <row r="64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</row>
    <row r="65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</row>
    <row r="66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</row>
    <row r="67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</row>
    <row r="68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</row>
    <row r="69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</row>
    <row r="70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</row>
    <row r="71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</row>
    <row r="72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</row>
    <row r="73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</row>
    <row r="74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</row>
    <row r="75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</row>
    <row r="76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</row>
    <row r="77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</row>
    <row r="78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</row>
    <row r="79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</row>
    <row r="80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</row>
    <row r="81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</row>
    <row r="82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</row>
    <row r="83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</row>
    <row r="84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</row>
    <row r="85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</row>
    <row r="86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</row>
    <row r="87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</row>
    <row r="88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</row>
    <row r="89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</row>
    <row r="90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</row>
    <row r="91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</row>
    <row r="92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</row>
    <row r="93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</row>
    <row r="94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</row>
    <row r="95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</row>
    <row r="96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</row>
    <row r="97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</row>
    <row r="98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</row>
    <row r="99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</row>
    <row r="100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</row>
    <row r="101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</row>
    <row r="102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</row>
    <row r="103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</row>
    <row r="104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</row>
    <row r="105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</row>
    <row r="106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</row>
    <row r="107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</row>
    <row r="108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</row>
    <row r="109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</row>
    <row r="110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</row>
    <row r="111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</row>
    <row r="112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</row>
    <row r="113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</row>
    <row r="114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</row>
    <row r="115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</row>
    <row r="116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</row>
    <row r="117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</row>
    <row r="118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</row>
    <row r="119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</row>
    <row r="120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</row>
    <row r="121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</row>
    <row r="122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</row>
    <row r="123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</row>
    <row r="124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</row>
    <row r="125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</row>
    <row r="126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</row>
    <row r="127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</row>
    <row r="128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</row>
    <row r="129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</row>
    <row r="130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</row>
    <row r="131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</row>
    <row r="132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</row>
    <row r="133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</row>
    <row r="134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</row>
    <row r="135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</row>
    <row r="136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</row>
    <row r="137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</row>
    <row r="138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</row>
    <row r="139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</row>
    <row r="140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</row>
    <row r="141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</row>
    <row r="142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</row>
    <row r="143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</row>
    <row r="144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</row>
    <row r="145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</row>
    <row r="146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</row>
    <row r="147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</row>
    <row r="148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</row>
    <row r="149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</row>
    <row r="150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</row>
    <row r="151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</row>
    <row r="152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</row>
    <row r="153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</row>
    <row r="154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</row>
    <row r="15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</row>
    <row r="156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</row>
    <row r="157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</row>
    <row r="158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</row>
    <row r="159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</row>
    <row r="160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</row>
    <row r="161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</row>
    <row r="162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</row>
    <row r="163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</row>
    <row r="164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</row>
    <row r="16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</row>
    <row r="166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</row>
    <row r="167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</row>
    <row r="168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</row>
    <row r="169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</row>
    <row r="170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</row>
    <row r="171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</row>
    <row r="172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</row>
    <row r="173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</row>
    <row r="174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</row>
    <row r="175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</row>
    <row r="176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</row>
    <row r="177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</row>
    <row r="178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</row>
    <row r="179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</row>
    <row r="180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</row>
    <row r="18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</row>
    <row r="182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</row>
    <row r="183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</row>
    <row r="184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</row>
    <row r="185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</row>
    <row r="186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</row>
    <row r="187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</row>
    <row r="188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</row>
    <row r="189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</row>
    <row r="190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</row>
    <row r="19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</row>
    <row r="192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</row>
    <row r="193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</row>
    <row r="194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</row>
    <row r="195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</row>
    <row r="196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</row>
    <row r="197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</row>
    <row r="198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</row>
    <row r="199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</row>
    <row r="200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</row>
    <row r="20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</row>
    <row r="202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</row>
    <row r="203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</row>
    <row r="204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</row>
    <row r="205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</row>
    <row r="206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</row>
    <row r="207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</row>
    <row r="208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</row>
    <row r="209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</row>
    <row r="210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</row>
    <row r="21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</row>
    <row r="212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</row>
    <row r="213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</row>
    <row r="214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</row>
    <row r="21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</row>
    <row r="216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</row>
    <row r="217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</row>
    <row r="218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</row>
    <row r="219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</row>
    <row r="220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</row>
    <row r="22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</row>
    <row r="222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</row>
    <row r="223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</row>
    <row r="224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</row>
    <row r="2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</row>
    <row r="226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</row>
    <row r="227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</row>
    <row r="228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</row>
    <row r="229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</row>
    <row r="230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</row>
    <row r="23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</row>
    <row r="232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</row>
    <row r="233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</row>
    <row r="234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</row>
    <row r="23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</row>
    <row r="236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</row>
    <row r="237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</row>
    <row r="238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</row>
    <row r="239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</row>
    <row r="240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</row>
    <row r="24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</row>
    <row r="242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</row>
    <row r="243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</row>
    <row r="244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</row>
    <row r="24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</row>
    <row r="246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</row>
    <row r="247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</row>
    <row r="248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</row>
    <row r="249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</row>
    <row r="250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</row>
    <row r="25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</row>
    <row r="252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</row>
    <row r="253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</row>
    <row r="254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</row>
    <row r="25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</row>
    <row r="256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</row>
    <row r="257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</row>
    <row r="258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</row>
    <row r="259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</row>
    <row r="260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</row>
    <row r="26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</row>
    <row r="262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</row>
    <row r="263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</row>
    <row r="264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</row>
    <row r="26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</row>
    <row r="266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</row>
    <row r="267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</row>
    <row r="268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</row>
    <row r="269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</row>
    <row r="270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</row>
    <row r="27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</row>
    <row r="272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</row>
    <row r="273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</row>
    <row r="274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</row>
    <row r="27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</row>
    <row r="276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</row>
    <row r="277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</row>
    <row r="278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</row>
    <row r="279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</row>
    <row r="280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</row>
    <row r="28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</row>
    <row r="282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</row>
    <row r="283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</row>
    <row r="284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</row>
    <row r="28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</row>
    <row r="286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</row>
    <row r="287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</row>
    <row r="288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</row>
    <row r="289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</row>
    <row r="290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</row>
    <row r="29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</row>
    <row r="292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</row>
    <row r="293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</row>
    <row r="294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</row>
    <row r="29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</row>
    <row r="296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</row>
    <row r="297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</row>
    <row r="298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</row>
    <row r="299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</row>
    <row r="300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</row>
    <row r="30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</row>
    <row r="302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</row>
    <row r="303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</row>
    <row r="304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</row>
    <row r="30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</row>
    <row r="306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</row>
    <row r="307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</row>
    <row r="308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</row>
    <row r="309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</row>
    <row r="310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</row>
    <row r="31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</row>
    <row r="312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</row>
    <row r="313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</row>
    <row r="314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</row>
    <row r="31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</row>
    <row r="316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</row>
    <row r="317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</row>
    <row r="318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</row>
    <row r="319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</row>
    <row r="320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</row>
    <row r="32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</row>
    <row r="322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</row>
    <row r="323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</row>
    <row r="324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</row>
    <row r="3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</row>
    <row r="326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</row>
    <row r="327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</row>
    <row r="328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</row>
    <row r="329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</row>
    <row r="330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</row>
    <row r="33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</row>
    <row r="332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</row>
    <row r="333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</row>
    <row r="334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</row>
    <row r="33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</row>
    <row r="336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</row>
    <row r="337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</row>
    <row r="338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</row>
    <row r="339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</row>
    <row r="340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</row>
    <row r="34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</row>
    <row r="342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</row>
    <row r="343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</row>
    <row r="344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</row>
    <row r="34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</row>
    <row r="346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</row>
    <row r="347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</row>
    <row r="348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</row>
    <row r="349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</row>
    <row r="350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</row>
    <row r="35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</row>
    <row r="352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</row>
    <row r="353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</row>
    <row r="354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</row>
    <row r="35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</row>
    <row r="356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</row>
    <row r="357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</row>
    <row r="358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</row>
    <row r="359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</row>
    <row r="360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</row>
    <row r="36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</row>
    <row r="362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</row>
    <row r="363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</row>
    <row r="364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</row>
    <row r="36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</row>
    <row r="366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</row>
    <row r="367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</row>
    <row r="368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</row>
    <row r="369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</row>
    <row r="370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</row>
    <row r="37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</row>
    <row r="372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</row>
    <row r="373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</row>
    <row r="374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</row>
    <row r="37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</row>
    <row r="376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</row>
    <row r="377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</row>
    <row r="378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</row>
    <row r="379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</row>
    <row r="380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</row>
    <row r="38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</row>
    <row r="382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</row>
    <row r="383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</row>
    <row r="384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</row>
    <row r="38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</row>
    <row r="386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</row>
    <row r="387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</row>
    <row r="388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</row>
    <row r="389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</row>
    <row r="390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</row>
    <row r="39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</row>
    <row r="392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</row>
    <row r="393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</row>
    <row r="394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</row>
    <row r="39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</row>
    <row r="396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</row>
    <row r="397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</row>
    <row r="398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</row>
    <row r="399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</row>
    <row r="400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</row>
    <row r="40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</row>
    <row r="402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</row>
    <row r="403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</row>
    <row r="404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</row>
    <row r="40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</row>
    <row r="406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</row>
    <row r="407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</row>
    <row r="408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</row>
    <row r="409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</row>
    <row r="410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</row>
    <row r="41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</row>
    <row r="412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</row>
    <row r="413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</row>
    <row r="414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</row>
    <row r="415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</row>
    <row r="416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</row>
    <row r="417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</row>
    <row r="418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</row>
    <row r="419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</row>
    <row r="420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</row>
    <row r="42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</row>
    <row r="422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</row>
    <row r="423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</row>
    <row r="424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</row>
    <row r="425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</row>
    <row r="426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</row>
    <row r="427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</row>
    <row r="428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</row>
    <row r="429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</row>
    <row r="430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</row>
    <row r="43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</row>
    <row r="432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</row>
    <row r="433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</row>
    <row r="434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</row>
    <row r="435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</row>
    <row r="436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</row>
    <row r="437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</row>
    <row r="438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</row>
    <row r="439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</row>
    <row r="440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</row>
    <row r="44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</row>
    <row r="442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</row>
    <row r="443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</row>
    <row r="444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</row>
    <row r="445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</row>
    <row r="446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</row>
    <row r="447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</row>
    <row r="448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</row>
    <row r="449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</row>
    <row r="450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</row>
    <row r="45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</row>
    <row r="452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</row>
    <row r="453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</row>
    <row r="454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</row>
    <row r="455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</row>
    <row r="456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</row>
    <row r="457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</row>
    <row r="458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</row>
    <row r="459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</row>
    <row r="460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</row>
    <row r="46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</row>
    <row r="462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</row>
    <row r="463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</row>
    <row r="464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</row>
    <row r="465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</row>
    <row r="466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</row>
    <row r="467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</row>
    <row r="468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</row>
    <row r="469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</row>
    <row r="470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</row>
    <row r="47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</row>
    <row r="472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</row>
    <row r="473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</row>
    <row r="474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</row>
    <row r="475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</row>
    <row r="476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</row>
    <row r="477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</row>
    <row r="478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</row>
    <row r="479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</row>
    <row r="480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</row>
    <row r="48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</row>
    <row r="482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</row>
    <row r="483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</row>
    <row r="484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</row>
    <row r="485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</row>
    <row r="486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</row>
    <row r="487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</row>
    <row r="488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</row>
    <row r="489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</row>
    <row r="490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</row>
    <row r="49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</row>
    <row r="492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</row>
    <row r="493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</row>
    <row r="494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</row>
    <row r="495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</row>
    <row r="496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</row>
    <row r="497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</row>
    <row r="498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</row>
    <row r="499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</row>
    <row r="500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</row>
    <row r="50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</row>
    <row r="502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</row>
    <row r="503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</row>
    <row r="504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</row>
    <row r="505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</row>
    <row r="506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</row>
    <row r="507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</row>
    <row r="508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</row>
    <row r="509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</row>
    <row r="510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</row>
    <row r="51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</row>
    <row r="512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</row>
    <row r="513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</row>
    <row r="514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</row>
    <row r="515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</row>
    <row r="516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</row>
    <row r="517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</row>
    <row r="518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</row>
    <row r="519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</row>
    <row r="520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</row>
    <row r="52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</row>
    <row r="522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</row>
    <row r="523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</row>
    <row r="524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</row>
    <row r="525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</row>
    <row r="526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</row>
    <row r="527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</row>
    <row r="528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</row>
    <row r="529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</row>
    <row r="530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</row>
    <row r="53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</row>
    <row r="532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</row>
    <row r="533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</row>
    <row r="534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</row>
    <row r="535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</row>
    <row r="536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</row>
    <row r="537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</row>
    <row r="538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</row>
    <row r="539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</row>
    <row r="540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</row>
    <row r="54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</row>
    <row r="542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</row>
    <row r="543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</row>
    <row r="544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</row>
    <row r="545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</row>
    <row r="546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</row>
    <row r="547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</row>
    <row r="548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</row>
    <row r="549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</row>
    <row r="550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</row>
    <row r="55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</row>
    <row r="552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</row>
    <row r="553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</row>
    <row r="554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</row>
    <row r="555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</row>
    <row r="556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</row>
    <row r="557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</row>
    <row r="558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</row>
    <row r="559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</row>
    <row r="560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</row>
    <row r="56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</row>
    <row r="562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</row>
    <row r="563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</row>
    <row r="564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</row>
    <row r="565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</row>
    <row r="566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</row>
    <row r="567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</row>
    <row r="568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</row>
    <row r="569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</row>
    <row r="570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</row>
    <row r="57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</row>
    <row r="572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</row>
    <row r="573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</row>
    <row r="574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</row>
    <row r="575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</row>
    <row r="576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</row>
    <row r="577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</row>
    <row r="578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</row>
    <row r="579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</row>
    <row r="580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</row>
    <row r="58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</row>
    <row r="582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</row>
    <row r="583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</row>
    <row r="584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</row>
    <row r="585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</row>
    <row r="586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</row>
    <row r="587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</row>
    <row r="588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</row>
    <row r="589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</row>
    <row r="590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</row>
    <row r="59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</row>
    <row r="592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</row>
    <row r="593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</row>
    <row r="594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</row>
    <row r="595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</row>
    <row r="596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</row>
    <row r="597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</row>
    <row r="598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</row>
    <row r="599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</row>
    <row r="600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</row>
    <row r="60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</row>
    <row r="602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</row>
    <row r="603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</row>
    <row r="604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</row>
    <row r="605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</row>
    <row r="606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</row>
    <row r="607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</row>
    <row r="608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</row>
    <row r="609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</row>
    <row r="610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</row>
    <row r="61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</row>
    <row r="612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</row>
    <row r="613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</row>
    <row r="614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</row>
    <row r="615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</row>
    <row r="616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</row>
    <row r="617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</row>
    <row r="618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</row>
    <row r="619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</row>
    <row r="620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</row>
    <row r="62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</row>
    <row r="622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</row>
    <row r="623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</row>
    <row r="624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</row>
    <row r="625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</row>
    <row r="626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</row>
    <row r="627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</row>
    <row r="628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</row>
    <row r="629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</row>
    <row r="630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</row>
    <row r="63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</row>
    <row r="632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</row>
    <row r="633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</row>
    <row r="634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</row>
    <row r="635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</row>
    <row r="636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</row>
    <row r="637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</row>
    <row r="638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</row>
    <row r="639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</row>
    <row r="640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</row>
    <row r="64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</row>
    <row r="642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</row>
    <row r="643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</row>
    <row r="644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</row>
    <row r="645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</row>
    <row r="646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</row>
    <row r="647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</row>
    <row r="648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</row>
    <row r="649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</row>
    <row r="650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</row>
    <row r="65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</row>
    <row r="652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</row>
    <row r="653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</row>
    <row r="654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</row>
    <row r="655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</row>
    <row r="656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</row>
    <row r="657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</row>
    <row r="658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</row>
    <row r="659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</row>
    <row r="660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</row>
    <row r="66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</row>
    <row r="662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</row>
    <row r="663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</row>
    <row r="664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</row>
    <row r="665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</row>
    <row r="666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</row>
    <row r="667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</row>
    <row r="668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</row>
    <row r="669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</row>
    <row r="670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</row>
    <row r="67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</row>
    <row r="672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</row>
    <row r="673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</row>
    <row r="674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</row>
    <row r="675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</row>
    <row r="676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</row>
    <row r="677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</row>
    <row r="678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</row>
    <row r="679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</row>
    <row r="680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</row>
    <row r="68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</row>
    <row r="682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</row>
    <row r="683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</row>
    <row r="684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</row>
    <row r="685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</row>
    <row r="686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</row>
    <row r="687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</row>
    <row r="688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</row>
    <row r="689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</row>
    <row r="690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</row>
    <row r="69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</row>
    <row r="692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</row>
    <row r="693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</row>
    <row r="694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</row>
    <row r="695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</row>
    <row r="696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</row>
    <row r="697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</row>
    <row r="698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</row>
    <row r="699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</row>
    <row r="700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</row>
    <row r="70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</row>
    <row r="702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</row>
    <row r="703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</row>
    <row r="704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</row>
    <row r="705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</row>
    <row r="706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</row>
    <row r="707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</row>
    <row r="708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</row>
    <row r="709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</row>
    <row r="710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</row>
    <row r="71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</row>
    <row r="712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</row>
    <row r="713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</row>
    <row r="714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</row>
    <row r="715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</row>
    <row r="716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</row>
    <row r="717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</row>
    <row r="718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</row>
    <row r="719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</row>
    <row r="720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</row>
    <row r="72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</row>
    <row r="722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</row>
    <row r="723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</row>
    <row r="724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</row>
    <row r="725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</row>
    <row r="726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</row>
    <row r="727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</row>
    <row r="728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</row>
    <row r="729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</row>
    <row r="730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</row>
    <row r="73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</row>
    <row r="732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</row>
    <row r="733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</row>
    <row r="734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</row>
    <row r="735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</row>
    <row r="736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</row>
    <row r="737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</row>
    <row r="738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</row>
    <row r="739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</row>
    <row r="740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</row>
    <row r="74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</row>
    <row r="742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</row>
    <row r="743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</row>
    <row r="744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</row>
    <row r="745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</row>
    <row r="746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</row>
    <row r="747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</row>
    <row r="748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</row>
    <row r="749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</row>
    <row r="750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</row>
    <row r="75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</row>
    <row r="752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</row>
    <row r="753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</row>
    <row r="754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</row>
    <row r="755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</row>
    <row r="756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</row>
    <row r="757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</row>
    <row r="758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</row>
    <row r="759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</row>
    <row r="760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</row>
    <row r="76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</row>
    <row r="762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</row>
    <row r="763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</row>
    <row r="764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</row>
    <row r="765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</row>
    <row r="766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</row>
    <row r="767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</row>
    <row r="768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</row>
    <row r="769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</row>
    <row r="770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</row>
    <row r="77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</row>
    <row r="772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</row>
    <row r="773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</row>
    <row r="774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</row>
    <row r="775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</row>
    <row r="776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</row>
    <row r="777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</row>
    <row r="778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</row>
    <row r="779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</row>
    <row r="780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</row>
    <row r="78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</row>
    <row r="782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</row>
    <row r="783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</row>
    <row r="784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</row>
    <row r="785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</row>
    <row r="786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</row>
    <row r="787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</row>
    <row r="788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</row>
    <row r="789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</row>
    <row r="790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</row>
    <row r="79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</row>
    <row r="792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</row>
    <row r="793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</row>
    <row r="794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</row>
    <row r="795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</row>
    <row r="796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</row>
    <row r="797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</row>
    <row r="798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</row>
    <row r="799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</row>
    <row r="800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</row>
    <row r="80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</row>
    <row r="802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</row>
    <row r="803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</row>
    <row r="804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</row>
    <row r="805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</row>
    <row r="806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</row>
    <row r="807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</row>
    <row r="808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</row>
    <row r="809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</row>
    <row r="810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</row>
    <row r="81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</row>
    <row r="812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</row>
    <row r="813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</row>
    <row r="814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</row>
    <row r="815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</row>
    <row r="816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</row>
    <row r="817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</row>
    <row r="818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</row>
    <row r="819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</row>
    <row r="820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</row>
    <row r="82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</row>
    <row r="822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</row>
    <row r="823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</row>
    <row r="824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</row>
    <row r="825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</row>
    <row r="826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</row>
    <row r="827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</row>
    <row r="828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</row>
    <row r="829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</row>
    <row r="830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</row>
    <row r="83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</row>
    <row r="832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</row>
    <row r="833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</row>
    <row r="834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</row>
    <row r="835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</row>
    <row r="836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</row>
    <row r="837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</row>
    <row r="838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</row>
    <row r="839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</row>
    <row r="840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</row>
    <row r="84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</row>
    <row r="842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</row>
    <row r="843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</row>
    <row r="844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</row>
    <row r="845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</row>
    <row r="846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</row>
    <row r="847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</row>
    <row r="848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</row>
    <row r="849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</row>
    <row r="850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</row>
    <row r="85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</row>
    <row r="852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</row>
    <row r="853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</row>
    <row r="854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</row>
    <row r="855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</row>
    <row r="856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</row>
    <row r="857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</row>
    <row r="858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</row>
    <row r="859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</row>
    <row r="860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</row>
    <row r="86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</row>
    <row r="862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</row>
    <row r="863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</row>
    <row r="864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</row>
    <row r="865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</row>
    <row r="866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</row>
    <row r="867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</row>
    <row r="868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</row>
    <row r="869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</row>
    <row r="870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</row>
    <row r="87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</row>
    <row r="872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</row>
    <row r="873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</row>
    <row r="874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</row>
    <row r="875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</row>
    <row r="876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</row>
    <row r="877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</row>
    <row r="878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</row>
    <row r="879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</row>
    <row r="880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</row>
    <row r="88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</row>
    <row r="882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</row>
    <row r="883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</row>
    <row r="884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</row>
    <row r="885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</row>
    <row r="886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</row>
    <row r="887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</row>
    <row r="888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</row>
    <row r="889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</row>
    <row r="890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</row>
    <row r="89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</row>
    <row r="892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</row>
    <row r="893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</row>
    <row r="894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</row>
    <row r="895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</row>
    <row r="896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</row>
    <row r="897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</row>
    <row r="898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</row>
    <row r="899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</row>
    <row r="900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</row>
    <row r="90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</row>
    <row r="902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</row>
    <row r="903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</row>
    <row r="904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</row>
    <row r="905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</row>
    <row r="906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</row>
    <row r="907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</row>
    <row r="908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</row>
    <row r="909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</row>
    <row r="910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</row>
    <row r="91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</row>
    <row r="912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</row>
    <row r="913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</row>
    <row r="914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</row>
    <row r="915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</row>
    <row r="916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</row>
    <row r="917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</row>
    <row r="918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</row>
    <row r="919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</row>
    <row r="920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</row>
    <row r="92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</row>
    <row r="922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</row>
    <row r="923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</row>
    <row r="924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</row>
    <row r="925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</row>
    <row r="926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</row>
    <row r="927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</row>
    <row r="928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</row>
    <row r="929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</row>
    <row r="930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</row>
    <row r="93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</row>
    <row r="932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</row>
    <row r="933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</row>
    <row r="934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</row>
    <row r="935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</row>
    <row r="936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</row>
    <row r="937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</row>
    <row r="938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</row>
    <row r="939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</row>
    <row r="940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</row>
    <row r="94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</row>
    <row r="942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</row>
    <row r="943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</row>
    <row r="944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</row>
    <row r="945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</row>
    <row r="946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</row>
    <row r="947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</row>
    <row r="948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</row>
    <row r="949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</row>
    <row r="950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</row>
    <row r="95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</row>
    <row r="952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</row>
    <row r="953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</row>
    <row r="954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</row>
    <row r="955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</row>
    <row r="956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</row>
    <row r="957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</row>
    <row r="958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</row>
    <row r="959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</row>
    <row r="960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</row>
    <row r="96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</row>
    <row r="962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</row>
    <row r="963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</row>
    <row r="964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</row>
    <row r="965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</row>
    <row r="966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</row>
    <row r="967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</row>
    <row r="968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</row>
    <row r="969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</row>
    <row r="970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</row>
    <row r="97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</row>
    <row r="972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</row>
    <row r="973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</row>
    <row r="974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</row>
    <row r="975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</row>
    <row r="976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</row>
    <row r="977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</row>
    <row r="978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</row>
    <row r="979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</row>
    <row r="980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</row>
    <row r="98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</row>
    <row r="982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</row>
    <row r="983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</row>
    <row r="984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</row>
    <row r="985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</row>
    <row r="986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</row>
    <row r="987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</row>
    <row r="988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</row>
    <row r="989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</row>
    <row r="990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</row>
    <row r="99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</row>
    <row r="992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</row>
    <row r="993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</row>
    <row r="994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</row>
    <row r="995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</row>
    <row r="996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</row>
    <row r="997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</row>
    <row r="998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</row>
    <row r="999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</row>
    <row r="1000">
      <c r="A1000" s="251"/>
      <c r="B1000" s="251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  <c r="Z1000" s="25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0"/>
    <col customWidth="1" min="5" max="5" width="24.5"/>
    <col customWidth="1" min="11" max="11" width="15.13"/>
    <col customWidth="1" min="16" max="16" width="3.75"/>
    <col customWidth="1" min="17" max="17" width="24.5"/>
    <col customWidth="1" min="18" max="20" width="7.25"/>
    <col customWidth="1" min="21" max="21" width="15.75"/>
    <col customWidth="1" min="22" max="22" width="8.63"/>
  </cols>
  <sheetData>
    <row r="4">
      <c r="C4" s="267"/>
      <c r="D4" s="267"/>
      <c r="E4" s="267"/>
      <c r="F4" s="268"/>
      <c r="G4" s="268"/>
      <c r="H4" s="269" t="s">
        <v>91</v>
      </c>
      <c r="I4" s="268"/>
      <c r="J4" s="268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>
      <c r="C5" s="267"/>
      <c r="D5" s="267"/>
      <c r="E5" s="267"/>
      <c r="F5" s="268" t="s">
        <v>23</v>
      </c>
      <c r="G5" s="270">
        <v>1400000.0</v>
      </c>
      <c r="H5" s="268" t="s">
        <v>370</v>
      </c>
      <c r="I5" s="268"/>
      <c r="J5" s="268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</row>
    <row r="6">
      <c r="C6" s="267"/>
      <c r="D6" s="267"/>
      <c r="E6" s="267"/>
      <c r="F6" s="268" t="s">
        <v>371</v>
      </c>
      <c r="G6" s="270">
        <f>G5*H6</f>
        <v>56000</v>
      </c>
      <c r="H6" s="271">
        <v>0.04</v>
      </c>
      <c r="I6" s="268" t="s">
        <v>372</v>
      </c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>
      <c r="C7" s="267"/>
      <c r="D7" s="267"/>
      <c r="E7" s="267"/>
      <c r="F7" s="268" t="s">
        <v>373</v>
      </c>
      <c r="G7" s="270">
        <v>30000.0</v>
      </c>
      <c r="H7" s="268"/>
      <c r="I7" s="268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>
      <c r="C8" s="267"/>
      <c r="D8" s="267"/>
      <c r="E8" s="267"/>
      <c r="F8" s="268"/>
      <c r="G8" s="268"/>
      <c r="H8" s="268"/>
      <c r="I8" s="268"/>
      <c r="J8" s="268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>
      <c r="C9" s="267"/>
      <c r="D9" s="267"/>
      <c r="E9" s="267"/>
      <c r="F9" s="268" t="s">
        <v>374</v>
      </c>
      <c r="G9" s="270">
        <f>G5-G6-G7</f>
        <v>1314000</v>
      </c>
      <c r="H9" s="268" t="s">
        <v>375</v>
      </c>
      <c r="I9" s="268"/>
      <c r="J9" s="268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>
      <c r="C10" s="267"/>
      <c r="D10" s="267"/>
      <c r="E10" s="267"/>
      <c r="F10" s="268"/>
      <c r="G10" s="272"/>
      <c r="H10" s="268"/>
      <c r="I10" s="268"/>
      <c r="J10" s="268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>
      <c r="C11" s="267"/>
      <c r="D11" s="267"/>
      <c r="E11" s="267"/>
      <c r="F11" s="268" t="s">
        <v>376</v>
      </c>
      <c r="G11" s="270">
        <f>G9*H11</f>
        <v>262800</v>
      </c>
      <c r="H11" s="271">
        <v>0.2</v>
      </c>
      <c r="I11" s="268"/>
      <c r="J11" s="268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>
      <c r="C12" s="267"/>
      <c r="D12" s="267"/>
      <c r="E12" s="267"/>
      <c r="F12" s="268" t="s">
        <v>377</v>
      </c>
      <c r="G12" s="270">
        <f>G9-G11</f>
        <v>1051200</v>
      </c>
      <c r="H12" s="271">
        <v>0.8</v>
      </c>
      <c r="I12" s="268"/>
      <c r="J12" s="268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73" t="s">
        <v>378</v>
      </c>
      <c r="V12" s="272">
        <f>X23</f>
        <v>70054.464</v>
      </c>
      <c r="W12" s="267"/>
      <c r="X12" s="267"/>
      <c r="Y12" s="267"/>
      <c r="Z12" s="267"/>
      <c r="AA12" s="267"/>
      <c r="AB12" s="267"/>
    </row>
    <row r="13">
      <c r="C13" s="267"/>
      <c r="D13" s="267"/>
      <c r="E13" s="267"/>
      <c r="F13" s="268"/>
      <c r="G13" s="268"/>
      <c r="H13" s="268"/>
      <c r="I13" s="268"/>
      <c r="J13" s="268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73" t="s">
        <v>7</v>
      </c>
      <c r="V13" s="274">
        <f>sum(V18:V45)</f>
        <v>2056942.023</v>
      </c>
      <c r="W13" s="267"/>
      <c r="X13" s="267"/>
      <c r="Y13" s="267"/>
      <c r="Z13" s="267"/>
      <c r="AA13" s="267"/>
      <c r="AB13" s="267"/>
    </row>
    <row r="14">
      <c r="C14" s="267"/>
      <c r="D14" s="267"/>
      <c r="E14" s="267"/>
      <c r="F14" s="268"/>
      <c r="G14" s="268"/>
      <c r="H14" s="268"/>
      <c r="I14" s="268"/>
      <c r="J14" s="268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32" t="s">
        <v>379</v>
      </c>
      <c r="V14" s="275">
        <f>V12/V13</f>
        <v>0.03405757829</v>
      </c>
      <c r="W14" s="267"/>
      <c r="X14" s="276">
        <v>1470000.0</v>
      </c>
      <c r="Y14" s="267"/>
      <c r="Z14" s="267"/>
      <c r="AA14" s="267"/>
      <c r="AB14" s="267"/>
    </row>
    <row r="15">
      <c r="C15" s="267"/>
      <c r="D15" s="267"/>
      <c r="E15" s="267"/>
      <c r="F15" s="268" t="s">
        <v>380</v>
      </c>
      <c r="G15" s="277">
        <f>G12*H15</f>
        <v>66646.08</v>
      </c>
      <c r="H15" s="278">
        <v>0.0634</v>
      </c>
      <c r="I15" s="268"/>
      <c r="J15" s="279">
        <f>J52</f>
        <v>2056942.023</v>
      </c>
      <c r="K15" s="280">
        <f>G15/J15</f>
        <v>0.03240056319</v>
      </c>
      <c r="L15" s="267"/>
      <c r="M15" s="267"/>
      <c r="N15" s="267"/>
      <c r="O15" s="267"/>
      <c r="P15" s="267"/>
      <c r="Q15" s="267"/>
      <c r="R15" s="267"/>
      <c r="S15" s="267"/>
      <c r="T15" s="267"/>
      <c r="W15" s="267"/>
      <c r="X15" s="267"/>
      <c r="Y15" s="267"/>
      <c r="Z15" s="267"/>
      <c r="AA15" s="267"/>
      <c r="AB15" s="267"/>
    </row>
    <row r="16">
      <c r="C16" s="267"/>
      <c r="D16" s="267"/>
      <c r="E16" s="267"/>
      <c r="F16" s="267"/>
      <c r="G16" s="267"/>
      <c r="H16" s="281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82">
        <f>X14*(1-Y16)</f>
        <v>1411200</v>
      </c>
      <c r="Y16" s="283">
        <v>0.04</v>
      </c>
      <c r="Z16" s="267"/>
      <c r="AA16" s="267"/>
      <c r="AB16" s="267"/>
    </row>
    <row r="17">
      <c r="C17" s="267"/>
      <c r="D17" s="267"/>
      <c r="E17" s="267" t="s">
        <v>380</v>
      </c>
      <c r="F17" s="267"/>
      <c r="G17" s="267"/>
      <c r="H17" s="267"/>
      <c r="I17" s="267"/>
      <c r="J17" s="267"/>
      <c r="K17" s="284" t="s">
        <v>381</v>
      </c>
      <c r="L17" s="282">
        <f>G15</f>
        <v>66646.08</v>
      </c>
      <c r="M17" s="267"/>
      <c r="N17" s="267"/>
      <c r="O17" s="267"/>
      <c r="P17" s="65" t="s">
        <v>382</v>
      </c>
      <c r="Q17" s="64" t="s">
        <v>22</v>
      </c>
      <c r="R17" s="64" t="s">
        <v>12</v>
      </c>
      <c r="S17" s="285" t="s">
        <v>13</v>
      </c>
      <c r="T17" s="285" t="s">
        <v>14</v>
      </c>
      <c r="U17" s="285" t="s">
        <v>15</v>
      </c>
      <c r="V17" s="285" t="s">
        <v>23</v>
      </c>
      <c r="W17" s="267"/>
      <c r="X17" s="284">
        <v>30000.0</v>
      </c>
      <c r="Y17" s="267"/>
      <c r="Z17" s="267"/>
      <c r="AA17" s="267"/>
      <c r="AB17" s="267"/>
    </row>
    <row r="18">
      <c r="C18" s="267"/>
      <c r="D18" s="64" t="s">
        <v>21</v>
      </c>
      <c r="E18" s="64" t="s">
        <v>22</v>
      </c>
      <c r="F18" s="64" t="s">
        <v>12</v>
      </c>
      <c r="G18" s="285" t="s">
        <v>13</v>
      </c>
      <c r="H18" s="285" t="s">
        <v>14</v>
      </c>
      <c r="I18" s="285" t="s">
        <v>15</v>
      </c>
      <c r="J18" s="285" t="s">
        <v>23</v>
      </c>
      <c r="K18" s="267"/>
      <c r="L18" s="286"/>
      <c r="M18" s="286"/>
      <c r="N18" s="267"/>
      <c r="O18" s="267"/>
      <c r="P18" s="67">
        <v>1.0</v>
      </c>
      <c r="Q18" s="287" t="s">
        <v>25</v>
      </c>
      <c r="R18" s="288">
        <v>60000.0</v>
      </c>
      <c r="S18" s="274"/>
      <c r="T18" s="289">
        <v>71595.33073929962</v>
      </c>
      <c r="U18" s="289">
        <v>40400.0</v>
      </c>
      <c r="V18" s="289">
        <f t="shared" ref="V18:V45" si="1">sum(R18:U18)</f>
        <v>171995.3307</v>
      </c>
      <c r="W18" s="267"/>
      <c r="X18" s="267"/>
      <c r="Y18" s="267"/>
      <c r="Z18" s="267"/>
      <c r="AA18" s="267"/>
      <c r="AB18" s="267"/>
    </row>
    <row r="19">
      <c r="C19" s="267"/>
      <c r="D19" s="67">
        <v>1.0</v>
      </c>
      <c r="E19" s="287" t="s">
        <v>25</v>
      </c>
      <c r="F19" s="288">
        <v>60000.0</v>
      </c>
      <c r="G19" s="274"/>
      <c r="H19" s="289">
        <v>71595.33073929962</v>
      </c>
      <c r="I19" s="289">
        <v>40400.0</v>
      </c>
      <c r="J19" s="289">
        <f t="shared" ref="J19:J22" si="2">sum(F19:I19)</f>
        <v>171995.3307</v>
      </c>
      <c r="K19" s="290">
        <f t="shared" ref="K19:K50" si="3">J19/$J$52</f>
        <v>0.08361700465</v>
      </c>
      <c r="L19" s="291">
        <f t="shared" ref="L19:L50" si="4">K19*$L$17</f>
        <v>5572.745582</v>
      </c>
      <c r="M19" s="292"/>
      <c r="N19" s="267"/>
      <c r="O19" s="267"/>
      <c r="P19" s="67">
        <v>2.0</v>
      </c>
      <c r="Q19" s="287" t="s">
        <v>27</v>
      </c>
      <c r="R19" s="288">
        <v>60000.0</v>
      </c>
      <c r="S19" s="274"/>
      <c r="T19" s="289">
        <v>71595.33073929962</v>
      </c>
      <c r="U19" s="289">
        <v>40400.0</v>
      </c>
      <c r="V19" s="289">
        <f t="shared" si="1"/>
        <v>171995.3307</v>
      </c>
      <c r="W19" s="267"/>
      <c r="X19" s="282">
        <f>X16-X17</f>
        <v>1381200</v>
      </c>
      <c r="Y19" s="284" t="s">
        <v>383</v>
      </c>
      <c r="Z19" s="267"/>
      <c r="AA19" s="267"/>
      <c r="AB19" s="267"/>
    </row>
    <row r="20">
      <c r="C20" s="267"/>
      <c r="D20" s="67">
        <v>2.0</v>
      </c>
      <c r="E20" s="287" t="s">
        <v>27</v>
      </c>
      <c r="F20" s="288">
        <v>60000.0</v>
      </c>
      <c r="G20" s="274"/>
      <c r="H20" s="289">
        <v>71595.33073929962</v>
      </c>
      <c r="I20" s="289">
        <v>40400.0</v>
      </c>
      <c r="J20" s="289">
        <f t="shared" si="2"/>
        <v>171995.3307</v>
      </c>
      <c r="K20" s="290">
        <f t="shared" si="3"/>
        <v>0.08361700465</v>
      </c>
      <c r="L20" s="291">
        <f t="shared" si="4"/>
        <v>5572.745582</v>
      </c>
      <c r="M20" s="292"/>
      <c r="N20" s="267"/>
      <c r="O20" s="267"/>
      <c r="P20" s="67">
        <v>3.0</v>
      </c>
      <c r="Q20" s="287" t="s">
        <v>29</v>
      </c>
      <c r="R20" s="288">
        <v>35000.0</v>
      </c>
      <c r="S20" s="274"/>
      <c r="T20" s="289">
        <v>66926.0700389105</v>
      </c>
      <c r="U20" s="289">
        <v>39200.0</v>
      </c>
      <c r="V20" s="289">
        <f t="shared" si="1"/>
        <v>141126.07</v>
      </c>
      <c r="W20" s="267"/>
      <c r="X20" s="267"/>
      <c r="Y20" s="267"/>
      <c r="Z20" s="267"/>
      <c r="AA20" s="267"/>
      <c r="AB20" s="267"/>
    </row>
    <row r="21">
      <c r="C21" s="267"/>
      <c r="D21" s="67">
        <v>3.0</v>
      </c>
      <c r="E21" s="287" t="s">
        <v>29</v>
      </c>
      <c r="F21" s="288">
        <v>35000.0</v>
      </c>
      <c r="G21" s="274"/>
      <c r="H21" s="289">
        <v>66926.0700389105</v>
      </c>
      <c r="I21" s="289">
        <v>39200.0</v>
      </c>
      <c r="J21" s="289">
        <f t="shared" si="2"/>
        <v>141126.07</v>
      </c>
      <c r="K21" s="290">
        <f t="shared" si="3"/>
        <v>0.0686096489</v>
      </c>
      <c r="L21" s="291">
        <f t="shared" si="4"/>
        <v>4572.56415</v>
      </c>
      <c r="M21" s="292"/>
      <c r="N21" s="267"/>
      <c r="O21" s="267"/>
      <c r="P21" s="67">
        <v>4.0</v>
      </c>
      <c r="Q21" s="287" t="s">
        <v>31</v>
      </c>
      <c r="R21" s="288">
        <v>40000.0</v>
      </c>
      <c r="S21" s="274"/>
      <c r="T21" s="289">
        <v>69260.70038910506</v>
      </c>
      <c r="U21" s="289">
        <v>42700.0</v>
      </c>
      <c r="V21" s="289">
        <f t="shared" si="1"/>
        <v>151960.7004</v>
      </c>
      <c r="W21" s="267"/>
      <c r="X21" s="282">
        <f>X19*Y21</f>
        <v>1104960</v>
      </c>
      <c r="Y21" s="283">
        <v>0.8</v>
      </c>
      <c r="Z21" s="284" t="s">
        <v>377</v>
      </c>
      <c r="AA21" s="267"/>
      <c r="AB21" s="267"/>
    </row>
    <row r="22">
      <c r="C22" s="267"/>
      <c r="D22" s="67">
        <v>4.0</v>
      </c>
      <c r="E22" s="287" t="s">
        <v>31</v>
      </c>
      <c r="F22" s="288">
        <v>40000.0</v>
      </c>
      <c r="G22" s="274"/>
      <c r="H22" s="289">
        <v>69260.70038910506</v>
      </c>
      <c r="I22" s="289">
        <v>42700.0</v>
      </c>
      <c r="J22" s="289">
        <f t="shared" si="2"/>
        <v>151960.7004</v>
      </c>
      <c r="K22" s="290">
        <f t="shared" si="3"/>
        <v>0.07387699734</v>
      </c>
      <c r="L22" s="291">
        <f t="shared" si="4"/>
        <v>4923.612275</v>
      </c>
      <c r="M22" s="292"/>
      <c r="N22" s="267"/>
      <c r="O22" s="267"/>
      <c r="P22" s="67">
        <v>5.0</v>
      </c>
      <c r="Q22" s="287" t="s">
        <v>34</v>
      </c>
      <c r="R22" s="288">
        <v>40000.0</v>
      </c>
      <c r="S22" s="274"/>
      <c r="T22" s="289">
        <v>66926.0700389105</v>
      </c>
      <c r="U22" s="289">
        <v>9700.0</v>
      </c>
      <c r="V22" s="289">
        <f t="shared" si="1"/>
        <v>116626.07</v>
      </c>
      <c r="W22" s="267"/>
      <c r="X22" s="267"/>
      <c r="Y22" s="267"/>
      <c r="Z22" s="267"/>
      <c r="AA22" s="267"/>
      <c r="AB22" s="267"/>
    </row>
    <row r="23">
      <c r="C23" s="267"/>
      <c r="D23" s="67">
        <v>5.0</v>
      </c>
      <c r="E23" s="287" t="s">
        <v>33</v>
      </c>
      <c r="F23" s="293"/>
      <c r="G23" s="294"/>
      <c r="H23" s="295"/>
      <c r="I23" s="296"/>
      <c r="J23" s="297"/>
      <c r="K23" s="290">
        <f t="shared" si="3"/>
        <v>0</v>
      </c>
      <c r="L23" s="291">
        <f t="shared" si="4"/>
        <v>0</v>
      </c>
      <c r="M23" s="292"/>
      <c r="N23" s="267"/>
      <c r="O23" s="267"/>
      <c r="P23" s="67">
        <v>6.0</v>
      </c>
      <c r="Q23" s="287" t="s">
        <v>36</v>
      </c>
      <c r="R23" s="288">
        <v>26000.0</v>
      </c>
      <c r="S23" s="274"/>
      <c r="T23" s="289">
        <v>52140.07782101167</v>
      </c>
      <c r="U23" s="289">
        <v>9700.0</v>
      </c>
      <c r="V23" s="289">
        <f t="shared" si="1"/>
        <v>87840.07782</v>
      </c>
      <c r="W23" s="267"/>
      <c r="X23" s="282">
        <f>X21*Y23</f>
        <v>70054.464</v>
      </c>
      <c r="Y23" s="298">
        <v>0.0634</v>
      </c>
      <c r="Z23" s="284" t="s">
        <v>384</v>
      </c>
      <c r="AA23" s="267"/>
      <c r="AB23" s="267"/>
    </row>
    <row r="24">
      <c r="C24" s="267"/>
      <c r="D24" s="67">
        <v>6.0</v>
      </c>
      <c r="E24" s="287" t="s">
        <v>34</v>
      </c>
      <c r="F24" s="288">
        <v>40000.0</v>
      </c>
      <c r="G24" s="274"/>
      <c r="H24" s="289">
        <v>66926.0700389105</v>
      </c>
      <c r="I24" s="289">
        <v>9700.0</v>
      </c>
      <c r="J24" s="289">
        <f t="shared" ref="J24:J25" si="5">sum(F24:I24)</f>
        <v>116626.07</v>
      </c>
      <c r="K24" s="290">
        <f t="shared" si="3"/>
        <v>0.05669876385</v>
      </c>
      <c r="L24" s="291">
        <f t="shared" si="4"/>
        <v>3778.750352</v>
      </c>
      <c r="M24" s="292"/>
      <c r="N24" s="267"/>
      <c r="O24" s="267"/>
      <c r="P24" s="67">
        <v>7.0</v>
      </c>
      <c r="Q24" s="287" t="s">
        <v>39</v>
      </c>
      <c r="R24" s="288">
        <v>25000.0</v>
      </c>
      <c r="S24" s="274"/>
      <c r="T24" s="289">
        <v>40466.926070038906</v>
      </c>
      <c r="U24" s="289">
        <v>18500.0</v>
      </c>
      <c r="V24" s="289">
        <f t="shared" si="1"/>
        <v>83966.92607</v>
      </c>
      <c r="W24" s="267"/>
      <c r="X24" s="267"/>
      <c r="Y24" s="267"/>
      <c r="Z24" s="267"/>
      <c r="AA24" s="267"/>
      <c r="AB24" s="267"/>
    </row>
    <row r="25">
      <c r="C25" s="267"/>
      <c r="D25" s="67">
        <v>7.0</v>
      </c>
      <c r="E25" s="287" t="s">
        <v>36</v>
      </c>
      <c r="F25" s="288">
        <v>26000.0</v>
      </c>
      <c r="G25" s="274"/>
      <c r="H25" s="289">
        <v>52140.07782101167</v>
      </c>
      <c r="I25" s="289">
        <v>9700.0</v>
      </c>
      <c r="J25" s="289">
        <f t="shared" si="5"/>
        <v>87840.07782</v>
      </c>
      <c r="K25" s="290">
        <f t="shared" si="3"/>
        <v>0.04270420694</v>
      </c>
      <c r="L25" s="291">
        <f t="shared" si="4"/>
        <v>2846.067992</v>
      </c>
      <c r="M25" s="292"/>
      <c r="N25" s="267"/>
      <c r="O25" s="267"/>
      <c r="P25" s="67">
        <v>8.0</v>
      </c>
      <c r="Q25" s="287" t="s">
        <v>43</v>
      </c>
      <c r="R25" s="288">
        <v>20000.0</v>
      </c>
      <c r="S25" s="274"/>
      <c r="T25" s="289">
        <v>45914.39688715953</v>
      </c>
      <c r="U25" s="289">
        <v>17100.0</v>
      </c>
      <c r="V25" s="289">
        <f t="shared" si="1"/>
        <v>83014.39689</v>
      </c>
      <c r="W25" s="267"/>
      <c r="X25" s="267"/>
      <c r="Y25" s="267"/>
      <c r="Z25" s="267"/>
      <c r="AA25" s="267"/>
      <c r="AB25" s="267"/>
    </row>
    <row r="26">
      <c r="C26" s="267"/>
      <c r="D26" s="67">
        <v>8.0</v>
      </c>
      <c r="E26" s="287" t="s">
        <v>38</v>
      </c>
      <c r="F26" s="293"/>
      <c r="G26" s="297"/>
      <c r="H26" s="297"/>
      <c r="I26" s="299"/>
      <c r="J26" s="299"/>
      <c r="K26" s="290">
        <f t="shared" si="3"/>
        <v>0</v>
      </c>
      <c r="L26" s="291">
        <f t="shared" si="4"/>
        <v>0</v>
      </c>
      <c r="M26" s="292"/>
      <c r="N26" s="267"/>
      <c r="O26" s="267"/>
      <c r="P26" s="67">
        <v>9.0</v>
      </c>
      <c r="Q26" s="287" t="s">
        <v>45</v>
      </c>
      <c r="R26" s="288">
        <v>20000.0</v>
      </c>
      <c r="S26" s="274"/>
      <c r="T26" s="289">
        <v>48249.02723735408</v>
      </c>
      <c r="U26" s="289">
        <v>13700.0</v>
      </c>
      <c r="V26" s="289">
        <f t="shared" si="1"/>
        <v>81949.02724</v>
      </c>
      <c r="W26" s="267"/>
      <c r="X26" s="267"/>
      <c r="Y26" s="267"/>
      <c r="Z26" s="267"/>
      <c r="AA26" s="267"/>
      <c r="AB26" s="267"/>
    </row>
    <row r="27">
      <c r="C27" s="267"/>
      <c r="D27" s="67">
        <v>9.0</v>
      </c>
      <c r="E27" s="287" t="s">
        <v>39</v>
      </c>
      <c r="F27" s="288">
        <v>25000.0</v>
      </c>
      <c r="G27" s="274"/>
      <c r="H27" s="289">
        <v>40466.926070038906</v>
      </c>
      <c r="I27" s="289">
        <v>18500.0</v>
      </c>
      <c r="J27" s="289">
        <f>sum(F27:I27)</f>
        <v>83966.92607</v>
      </c>
      <c r="K27" s="290">
        <f t="shared" si="3"/>
        <v>0.04082124101</v>
      </c>
      <c r="L27" s="291">
        <f t="shared" si="4"/>
        <v>2720.575694</v>
      </c>
      <c r="M27" s="292"/>
      <c r="N27" s="267"/>
      <c r="P27" s="67">
        <v>10.0</v>
      </c>
      <c r="Q27" s="287" t="s">
        <v>47</v>
      </c>
      <c r="R27" s="288">
        <v>20000.0</v>
      </c>
      <c r="S27" s="274"/>
      <c r="T27" s="289">
        <v>40466.926070038906</v>
      </c>
      <c r="U27" s="289">
        <v>15000.0</v>
      </c>
      <c r="V27" s="289">
        <f t="shared" si="1"/>
        <v>75466.92607</v>
      </c>
      <c r="W27" s="267"/>
      <c r="X27" s="267"/>
      <c r="Y27" s="267"/>
      <c r="Z27" s="267"/>
      <c r="AA27" s="267"/>
      <c r="AB27" s="267"/>
    </row>
    <row r="28">
      <c r="C28" s="267"/>
      <c r="D28" s="67">
        <v>10.0</v>
      </c>
      <c r="E28" s="287" t="s">
        <v>41</v>
      </c>
      <c r="F28" s="293"/>
      <c r="G28" s="297"/>
      <c r="H28" s="297"/>
      <c r="I28" s="299"/>
      <c r="J28" s="299"/>
      <c r="K28" s="290">
        <f t="shared" si="3"/>
        <v>0</v>
      </c>
      <c r="L28" s="291">
        <f t="shared" si="4"/>
        <v>0</v>
      </c>
      <c r="M28" s="292"/>
      <c r="N28" s="267"/>
      <c r="P28" s="67">
        <v>11.0</v>
      </c>
      <c r="Q28" s="287" t="s">
        <v>49</v>
      </c>
      <c r="R28" s="288">
        <v>20000.0</v>
      </c>
      <c r="S28" s="274"/>
      <c r="T28" s="289">
        <v>55252.91828793775</v>
      </c>
      <c r="U28" s="289">
        <v>13700.0</v>
      </c>
      <c r="V28" s="289">
        <f t="shared" si="1"/>
        <v>88952.91829</v>
      </c>
      <c r="W28" s="267"/>
      <c r="X28" s="267"/>
      <c r="Y28" s="267"/>
      <c r="Z28" s="267"/>
      <c r="AA28" s="267"/>
      <c r="AB28" s="267"/>
    </row>
    <row r="29">
      <c r="C29" s="267"/>
      <c r="D29" s="67">
        <v>11.0</v>
      </c>
      <c r="E29" s="287" t="s">
        <v>42</v>
      </c>
      <c r="F29" s="293"/>
      <c r="G29" s="297"/>
      <c r="H29" s="297"/>
      <c r="I29" s="299"/>
      <c r="J29" s="299"/>
      <c r="K29" s="290">
        <f t="shared" si="3"/>
        <v>0</v>
      </c>
      <c r="L29" s="291">
        <f t="shared" si="4"/>
        <v>0</v>
      </c>
      <c r="M29" s="292"/>
      <c r="N29" s="267"/>
      <c r="P29" s="67">
        <v>12.0</v>
      </c>
      <c r="Q29" s="300" t="s">
        <v>51</v>
      </c>
      <c r="R29" s="69">
        <v>0.0</v>
      </c>
      <c r="S29" s="274"/>
      <c r="T29" s="289">
        <v>45914.39688715953</v>
      </c>
      <c r="U29" s="289">
        <v>28700.0</v>
      </c>
      <c r="V29" s="289">
        <f t="shared" si="1"/>
        <v>74614.39689</v>
      </c>
      <c r="W29" s="267"/>
      <c r="X29" s="267"/>
      <c r="Y29" s="267"/>
      <c r="Z29" s="267"/>
      <c r="AA29" s="267"/>
      <c r="AB29" s="267"/>
    </row>
    <row r="30">
      <c r="C30" s="267"/>
      <c r="D30" s="67">
        <v>12.0</v>
      </c>
      <c r="E30" s="287" t="s">
        <v>43</v>
      </c>
      <c r="F30" s="288">
        <v>20000.0</v>
      </c>
      <c r="G30" s="274"/>
      <c r="H30" s="289">
        <v>45914.39688715953</v>
      </c>
      <c r="I30" s="289">
        <v>17100.0</v>
      </c>
      <c r="J30" s="289">
        <f t="shared" ref="J30:J50" si="6">sum(F30:I30)</f>
        <v>83014.39689</v>
      </c>
      <c r="K30" s="290">
        <f t="shared" si="3"/>
        <v>0.04035816078</v>
      </c>
      <c r="L30" s="291">
        <f t="shared" si="4"/>
        <v>2689.713212</v>
      </c>
      <c r="M30" s="292"/>
      <c r="N30" s="267"/>
      <c r="P30" s="67">
        <v>13.0</v>
      </c>
      <c r="Q30" s="300" t="s">
        <v>53</v>
      </c>
      <c r="R30" s="69">
        <v>0.0</v>
      </c>
      <c r="S30" s="274"/>
      <c r="T30" s="289">
        <v>45914.39688715953</v>
      </c>
      <c r="U30" s="289">
        <v>15000.0</v>
      </c>
      <c r="V30" s="289">
        <f t="shared" si="1"/>
        <v>60914.39689</v>
      </c>
      <c r="W30" s="267"/>
      <c r="X30" s="267"/>
      <c r="Y30" s="267"/>
      <c r="Z30" s="267"/>
      <c r="AA30" s="267"/>
      <c r="AB30" s="267"/>
    </row>
    <row r="31">
      <c r="C31" s="267"/>
      <c r="D31" s="67">
        <v>13.0</v>
      </c>
      <c r="E31" s="287" t="s">
        <v>45</v>
      </c>
      <c r="F31" s="288">
        <v>20000.0</v>
      </c>
      <c r="G31" s="274"/>
      <c r="H31" s="289">
        <v>48249.02723735408</v>
      </c>
      <c r="I31" s="289">
        <v>13700.0</v>
      </c>
      <c r="J31" s="289">
        <f t="shared" si="6"/>
        <v>81949.02724</v>
      </c>
      <c r="K31" s="290">
        <f t="shared" si="3"/>
        <v>0.03984022219</v>
      </c>
      <c r="L31" s="291">
        <f t="shared" si="4"/>
        <v>2655.194635</v>
      </c>
      <c r="M31" s="292"/>
      <c r="N31" s="267"/>
      <c r="P31" s="67">
        <v>14.0</v>
      </c>
      <c r="Q31" s="300" t="s">
        <v>55</v>
      </c>
      <c r="R31" s="69">
        <v>0.0</v>
      </c>
      <c r="S31" s="274"/>
      <c r="T31" s="289">
        <v>36575.87548638132</v>
      </c>
      <c r="U31" s="289">
        <v>15000.0</v>
      </c>
      <c r="V31" s="289">
        <f t="shared" si="1"/>
        <v>51575.87549</v>
      </c>
      <c r="W31" s="267"/>
      <c r="X31" s="267"/>
      <c r="Y31" s="267"/>
      <c r="Z31" s="267"/>
      <c r="AA31" s="267"/>
      <c r="AB31" s="267"/>
    </row>
    <row r="32">
      <c r="C32" s="267"/>
      <c r="D32" s="67">
        <v>14.0</v>
      </c>
      <c r="E32" s="287" t="s">
        <v>47</v>
      </c>
      <c r="F32" s="288">
        <v>20000.0</v>
      </c>
      <c r="G32" s="274"/>
      <c r="H32" s="289">
        <v>40466.926070038906</v>
      </c>
      <c r="I32" s="289">
        <v>15000.0</v>
      </c>
      <c r="J32" s="289">
        <f t="shared" si="6"/>
        <v>75466.92607</v>
      </c>
      <c r="K32" s="290">
        <f t="shared" si="3"/>
        <v>0.03668889313</v>
      </c>
      <c r="L32" s="291">
        <f t="shared" si="4"/>
        <v>2445.170907</v>
      </c>
      <c r="M32" s="292"/>
      <c r="N32" s="267"/>
      <c r="P32" s="67">
        <v>15.0</v>
      </c>
      <c r="Q32" s="300" t="s">
        <v>57</v>
      </c>
      <c r="R32" s="69">
        <v>0.0</v>
      </c>
      <c r="S32" s="274"/>
      <c r="T32" s="289">
        <v>41245.13618677043</v>
      </c>
      <c r="U32" s="289">
        <v>11300.0</v>
      </c>
      <c r="V32" s="289">
        <f t="shared" si="1"/>
        <v>52545.13619</v>
      </c>
      <c r="W32" s="267"/>
      <c r="X32" s="267"/>
      <c r="Y32" s="267"/>
      <c r="Z32" s="267"/>
      <c r="AA32" s="267"/>
      <c r="AB32" s="267"/>
    </row>
    <row r="33">
      <c r="C33" s="267"/>
      <c r="D33" s="67">
        <v>15.0</v>
      </c>
      <c r="E33" s="287" t="s">
        <v>49</v>
      </c>
      <c r="F33" s="288">
        <v>20000.0</v>
      </c>
      <c r="G33" s="274"/>
      <c r="H33" s="289">
        <v>55252.91828793775</v>
      </c>
      <c r="I33" s="289">
        <v>13700.0</v>
      </c>
      <c r="J33" s="289">
        <f t="shared" si="6"/>
        <v>88952.91829</v>
      </c>
      <c r="K33" s="290">
        <f t="shared" si="3"/>
        <v>0.04324522387</v>
      </c>
      <c r="L33" s="291">
        <f t="shared" si="4"/>
        <v>2882.12465</v>
      </c>
      <c r="M33" s="292"/>
      <c r="N33" s="267"/>
      <c r="P33" s="67">
        <v>16.0</v>
      </c>
      <c r="Q33" s="300" t="s">
        <v>59</v>
      </c>
      <c r="R33" s="69">
        <v>0.0</v>
      </c>
      <c r="S33" s="274"/>
      <c r="T33" s="289">
        <v>40466.926070038906</v>
      </c>
      <c r="U33" s="289">
        <v>8200.0</v>
      </c>
      <c r="V33" s="289">
        <f t="shared" si="1"/>
        <v>48666.92607</v>
      </c>
      <c r="W33" s="267"/>
      <c r="X33" s="267"/>
      <c r="Y33" s="267"/>
      <c r="Z33" s="267"/>
      <c r="AA33" s="267"/>
      <c r="AB33" s="267"/>
    </row>
    <row r="34">
      <c r="C34" s="267"/>
      <c r="D34" s="67">
        <v>16.0</v>
      </c>
      <c r="E34" s="300" t="s">
        <v>51</v>
      </c>
      <c r="F34" s="69">
        <v>0.0</v>
      </c>
      <c r="G34" s="274"/>
      <c r="H34" s="289">
        <v>45914.39688715953</v>
      </c>
      <c r="I34" s="289">
        <v>28700.0</v>
      </c>
      <c r="J34" s="289">
        <f t="shared" si="6"/>
        <v>74614.39689</v>
      </c>
      <c r="K34" s="290">
        <f t="shared" si="3"/>
        <v>0.03627442876</v>
      </c>
      <c r="L34" s="291">
        <f t="shared" si="4"/>
        <v>2417.548481</v>
      </c>
      <c r="M34" s="292"/>
      <c r="N34" s="267"/>
      <c r="P34" s="67">
        <v>17.0</v>
      </c>
      <c r="Q34" s="68" t="s">
        <v>61</v>
      </c>
      <c r="R34" s="69">
        <v>0.0</v>
      </c>
      <c r="S34" s="274"/>
      <c r="T34" s="289">
        <v>29571.984435797665</v>
      </c>
      <c r="U34" s="289">
        <v>7300.0</v>
      </c>
      <c r="V34" s="289">
        <f t="shared" si="1"/>
        <v>36871.98444</v>
      </c>
      <c r="W34" s="267"/>
      <c r="X34" s="267"/>
      <c r="Y34" s="267"/>
      <c r="Z34" s="267"/>
      <c r="AA34" s="267"/>
      <c r="AB34" s="267"/>
    </row>
    <row r="35">
      <c r="C35" s="267"/>
      <c r="D35" s="67">
        <v>17.0</v>
      </c>
      <c r="E35" s="300" t="s">
        <v>53</v>
      </c>
      <c r="F35" s="69">
        <v>0.0</v>
      </c>
      <c r="G35" s="274"/>
      <c r="H35" s="289">
        <v>45914.39688715953</v>
      </c>
      <c r="I35" s="289">
        <v>15000.0</v>
      </c>
      <c r="J35" s="289">
        <f t="shared" si="6"/>
        <v>60914.39689</v>
      </c>
      <c r="K35" s="290">
        <f t="shared" si="3"/>
        <v>0.0296140563</v>
      </c>
      <c r="L35" s="291">
        <f t="shared" si="4"/>
        <v>1973.660765</v>
      </c>
      <c r="M35" s="292"/>
      <c r="N35" s="267"/>
      <c r="P35" s="67">
        <v>18.0</v>
      </c>
      <c r="Q35" s="68" t="s">
        <v>63</v>
      </c>
      <c r="R35" s="69">
        <v>0.0</v>
      </c>
      <c r="S35" s="274"/>
      <c r="T35" s="289">
        <v>41245.13618677043</v>
      </c>
      <c r="U35" s="289">
        <v>23300.0</v>
      </c>
      <c r="V35" s="289">
        <f t="shared" si="1"/>
        <v>64545.13619</v>
      </c>
      <c r="W35" s="267"/>
      <c r="X35" s="267"/>
      <c r="Y35" s="267"/>
      <c r="Z35" s="267"/>
      <c r="AA35" s="267"/>
      <c r="AB35" s="267"/>
    </row>
    <row r="36">
      <c r="C36" s="267"/>
      <c r="D36" s="67">
        <v>18.0</v>
      </c>
      <c r="E36" s="300" t="s">
        <v>55</v>
      </c>
      <c r="F36" s="69">
        <v>0.0</v>
      </c>
      <c r="G36" s="274"/>
      <c r="H36" s="289">
        <v>36575.87548638132</v>
      </c>
      <c r="I36" s="289">
        <v>15000.0</v>
      </c>
      <c r="J36" s="289">
        <f t="shared" si="6"/>
        <v>51575.87549</v>
      </c>
      <c r="K36" s="290">
        <f t="shared" si="3"/>
        <v>0.02507405406</v>
      </c>
      <c r="L36" s="291">
        <f t="shared" si="4"/>
        <v>1671.087413</v>
      </c>
      <c r="M36" s="292"/>
      <c r="N36" s="267"/>
      <c r="P36" s="67">
        <v>19.0</v>
      </c>
      <c r="Q36" s="300" t="s">
        <v>65</v>
      </c>
      <c r="R36" s="69">
        <v>0.0</v>
      </c>
      <c r="S36" s="274"/>
      <c r="T36" s="289">
        <v>45914.39688715953</v>
      </c>
      <c r="U36" s="289">
        <v>2300.0</v>
      </c>
      <c r="V36" s="289">
        <f t="shared" si="1"/>
        <v>48214.39689</v>
      </c>
      <c r="W36" s="267"/>
      <c r="X36" s="267"/>
      <c r="Y36" s="267"/>
      <c r="Z36" s="267"/>
      <c r="AA36" s="267"/>
      <c r="AB36" s="267"/>
    </row>
    <row r="37">
      <c r="C37" s="267"/>
      <c r="D37" s="67">
        <v>19.0</v>
      </c>
      <c r="E37" s="300" t="s">
        <v>57</v>
      </c>
      <c r="F37" s="69">
        <v>0.0</v>
      </c>
      <c r="G37" s="274"/>
      <c r="H37" s="289">
        <v>41245.13618677043</v>
      </c>
      <c r="I37" s="289">
        <v>11300.0</v>
      </c>
      <c r="J37" s="289">
        <f t="shared" si="6"/>
        <v>52545.13619</v>
      </c>
      <c r="K37" s="290">
        <f t="shared" si="3"/>
        <v>0.02554526846</v>
      </c>
      <c r="L37" s="291">
        <f t="shared" si="4"/>
        <v>1702.492005</v>
      </c>
      <c r="M37" s="292"/>
      <c r="N37" s="267"/>
      <c r="P37" s="67">
        <v>20.0</v>
      </c>
      <c r="Q37" s="300" t="s">
        <v>67</v>
      </c>
      <c r="R37" s="69">
        <v>0.0</v>
      </c>
      <c r="S37" s="274"/>
      <c r="T37" s="289">
        <v>63035.01945525292</v>
      </c>
      <c r="U37" s="289">
        <v>18500.0</v>
      </c>
      <c r="V37" s="289">
        <f t="shared" si="1"/>
        <v>81535.01946</v>
      </c>
      <c r="W37" s="267"/>
      <c r="X37" s="267"/>
      <c r="Y37" s="267"/>
      <c r="Z37" s="267"/>
      <c r="AA37" s="267"/>
      <c r="AB37" s="267"/>
    </row>
    <row r="38">
      <c r="C38" s="267"/>
      <c r="D38" s="67">
        <v>20.0</v>
      </c>
      <c r="E38" s="300" t="s">
        <v>59</v>
      </c>
      <c r="F38" s="69">
        <v>0.0</v>
      </c>
      <c r="G38" s="274"/>
      <c r="H38" s="289">
        <v>40466.926070038906</v>
      </c>
      <c r="I38" s="289">
        <v>8200.0</v>
      </c>
      <c r="J38" s="289">
        <f t="shared" si="6"/>
        <v>48666.92607</v>
      </c>
      <c r="K38" s="290">
        <f t="shared" si="3"/>
        <v>0.02365984336</v>
      </c>
      <c r="L38" s="291">
        <f t="shared" si="4"/>
        <v>1576.835813</v>
      </c>
      <c r="M38" s="292"/>
      <c r="N38" s="267"/>
      <c r="P38" s="67">
        <v>21.0</v>
      </c>
      <c r="Q38" s="300" t="s">
        <v>69</v>
      </c>
      <c r="R38" s="69">
        <v>0.0</v>
      </c>
      <c r="S38" s="274"/>
      <c r="T38" s="289">
        <v>36575.87548638132</v>
      </c>
      <c r="U38" s="289">
        <v>11900.0</v>
      </c>
      <c r="V38" s="289">
        <f t="shared" si="1"/>
        <v>48475.87549</v>
      </c>
      <c r="W38" s="267"/>
      <c r="X38" s="267"/>
      <c r="Y38" s="267"/>
      <c r="Z38" s="267"/>
      <c r="AA38" s="267"/>
      <c r="AB38" s="267"/>
    </row>
    <row r="39">
      <c r="C39" s="267"/>
      <c r="D39" s="67">
        <v>21.0</v>
      </c>
      <c r="E39" s="68" t="s">
        <v>61</v>
      </c>
      <c r="F39" s="69">
        <v>0.0</v>
      </c>
      <c r="G39" s="274"/>
      <c r="H39" s="289">
        <v>29571.984435797665</v>
      </c>
      <c r="I39" s="289">
        <v>7300.0</v>
      </c>
      <c r="J39" s="289">
        <f t="shared" si="6"/>
        <v>36871.98444</v>
      </c>
      <c r="K39" s="290">
        <f t="shared" si="3"/>
        <v>0.01792563136</v>
      </c>
      <c r="L39" s="291">
        <f t="shared" si="4"/>
        <v>1194.673062</v>
      </c>
      <c r="M39" s="292"/>
      <c r="N39" s="267"/>
      <c r="P39" s="67">
        <v>22.0</v>
      </c>
      <c r="Q39" s="300" t="s">
        <v>71</v>
      </c>
      <c r="R39" s="69">
        <v>0.0</v>
      </c>
      <c r="S39" s="274"/>
      <c r="T39" s="289">
        <v>56809.33852140079</v>
      </c>
      <c r="U39" s="289">
        <v>11900.0</v>
      </c>
      <c r="V39" s="289">
        <f t="shared" si="1"/>
        <v>68709.33852</v>
      </c>
      <c r="W39" s="267"/>
      <c r="X39" s="267"/>
      <c r="Y39" s="267"/>
      <c r="Z39" s="267"/>
      <c r="AA39" s="267"/>
      <c r="AB39" s="267"/>
    </row>
    <row r="40">
      <c r="C40" s="267"/>
      <c r="D40" s="67">
        <v>22.0</v>
      </c>
      <c r="E40" s="68" t="s">
        <v>63</v>
      </c>
      <c r="F40" s="69">
        <v>0.0</v>
      </c>
      <c r="G40" s="274"/>
      <c r="H40" s="289">
        <v>41245.13618677043</v>
      </c>
      <c r="I40" s="289">
        <v>23300.0</v>
      </c>
      <c r="J40" s="289">
        <f t="shared" si="6"/>
        <v>64545.13619</v>
      </c>
      <c r="K40" s="290">
        <f t="shared" si="3"/>
        <v>0.03137917134</v>
      </c>
      <c r="L40" s="291">
        <f t="shared" si="4"/>
        <v>2091.298763</v>
      </c>
      <c r="M40" s="292"/>
      <c r="N40" s="267"/>
      <c r="P40" s="67">
        <v>23.0</v>
      </c>
      <c r="Q40" s="300" t="s">
        <v>73</v>
      </c>
      <c r="R40" s="69">
        <v>0.0</v>
      </c>
      <c r="S40" s="274"/>
      <c r="T40" s="289">
        <v>43579.766536964984</v>
      </c>
      <c r="U40" s="289">
        <v>11900.0</v>
      </c>
      <c r="V40" s="289">
        <f t="shared" si="1"/>
        <v>55479.76654</v>
      </c>
      <c r="W40" s="267"/>
      <c r="X40" s="267"/>
      <c r="Y40" s="267"/>
      <c r="Z40" s="267"/>
      <c r="AA40" s="267"/>
      <c r="AB40" s="267"/>
    </row>
    <row r="41">
      <c r="C41" s="267"/>
      <c r="D41" s="67">
        <v>23.0</v>
      </c>
      <c r="E41" s="300" t="s">
        <v>65</v>
      </c>
      <c r="F41" s="69">
        <v>0.0</v>
      </c>
      <c r="G41" s="274"/>
      <c r="H41" s="289">
        <v>45914.39688715953</v>
      </c>
      <c r="I41" s="289">
        <v>2300.0</v>
      </c>
      <c r="J41" s="289">
        <f t="shared" si="6"/>
        <v>48214.39689</v>
      </c>
      <c r="K41" s="290">
        <f t="shared" si="3"/>
        <v>0.02343984242</v>
      </c>
      <c r="L41" s="291">
        <f t="shared" si="4"/>
        <v>1562.173613</v>
      </c>
      <c r="M41" s="292"/>
      <c r="N41" s="267"/>
      <c r="P41" s="67">
        <v>24.0</v>
      </c>
      <c r="Q41" s="300" t="s">
        <v>75</v>
      </c>
      <c r="R41" s="69">
        <v>0.0</v>
      </c>
      <c r="S41" s="274"/>
      <c r="T41" s="289">
        <v>0.0</v>
      </c>
      <c r="U41" s="289">
        <v>35900.0</v>
      </c>
      <c r="V41" s="289">
        <f t="shared" si="1"/>
        <v>35900</v>
      </c>
      <c r="W41" s="267"/>
      <c r="X41" s="267"/>
      <c r="Y41" s="267"/>
      <c r="Z41" s="267"/>
      <c r="AA41" s="267"/>
      <c r="AB41" s="267"/>
    </row>
    <row r="42">
      <c r="C42" s="267"/>
      <c r="D42" s="67">
        <v>24.0</v>
      </c>
      <c r="E42" s="300" t="s">
        <v>67</v>
      </c>
      <c r="F42" s="69">
        <v>0.0</v>
      </c>
      <c r="G42" s="274"/>
      <c r="H42" s="289">
        <v>63035.01945525292</v>
      </c>
      <c r="I42" s="289">
        <v>18500.0</v>
      </c>
      <c r="J42" s="289">
        <f t="shared" si="6"/>
        <v>81535.01946</v>
      </c>
      <c r="K42" s="290">
        <f t="shared" si="3"/>
        <v>0.03963894875</v>
      </c>
      <c r="L42" s="291">
        <f t="shared" si="4"/>
        <v>2641.78055</v>
      </c>
      <c r="M42" s="292"/>
      <c r="N42" s="267"/>
      <c r="P42" s="67">
        <v>25.0</v>
      </c>
      <c r="Q42" s="300" t="s">
        <v>77</v>
      </c>
      <c r="R42" s="69">
        <v>0.0</v>
      </c>
      <c r="S42" s="274"/>
      <c r="T42" s="289">
        <v>0.0</v>
      </c>
      <c r="U42" s="289">
        <v>15000.0</v>
      </c>
      <c r="V42" s="289">
        <f t="shared" si="1"/>
        <v>15000</v>
      </c>
      <c r="W42" s="267"/>
      <c r="X42" s="267"/>
      <c r="Y42" s="267"/>
      <c r="Z42" s="267"/>
      <c r="AA42" s="267"/>
      <c r="AB42" s="267"/>
    </row>
    <row r="43">
      <c r="C43" s="267"/>
      <c r="D43" s="67">
        <v>25.0</v>
      </c>
      <c r="E43" s="300" t="s">
        <v>69</v>
      </c>
      <c r="F43" s="69">
        <v>0.0</v>
      </c>
      <c r="G43" s="274"/>
      <c r="H43" s="289">
        <v>36575.87548638132</v>
      </c>
      <c r="I43" s="289">
        <v>11900.0</v>
      </c>
      <c r="J43" s="289">
        <f t="shared" si="6"/>
        <v>48475.87549</v>
      </c>
      <c r="K43" s="290">
        <f t="shared" si="3"/>
        <v>0.02356696248</v>
      </c>
      <c r="L43" s="291">
        <f t="shared" si="4"/>
        <v>1570.645667</v>
      </c>
      <c r="M43" s="292"/>
      <c r="N43" s="267"/>
      <c r="P43" s="67">
        <v>26.0</v>
      </c>
      <c r="Q43" s="300" t="s">
        <v>79</v>
      </c>
      <c r="R43" s="69">
        <v>0.0</v>
      </c>
      <c r="S43" s="274"/>
      <c r="T43" s="289">
        <v>0.0</v>
      </c>
      <c r="U43" s="289">
        <v>20100.0</v>
      </c>
      <c r="V43" s="289">
        <f t="shared" si="1"/>
        <v>20100</v>
      </c>
      <c r="W43" s="267"/>
      <c r="X43" s="267"/>
      <c r="Y43" s="267"/>
      <c r="Z43" s="267"/>
      <c r="AA43" s="267"/>
      <c r="AB43" s="267"/>
    </row>
    <row r="44">
      <c r="C44" s="267"/>
      <c r="D44" s="67">
        <v>26.0</v>
      </c>
      <c r="E44" s="300" t="s">
        <v>71</v>
      </c>
      <c r="F44" s="69">
        <v>0.0</v>
      </c>
      <c r="G44" s="274"/>
      <c r="H44" s="289">
        <v>56809.33852140079</v>
      </c>
      <c r="I44" s="289">
        <v>11900.0</v>
      </c>
      <c r="J44" s="289">
        <f t="shared" si="6"/>
        <v>68709.33852</v>
      </c>
      <c r="K44" s="290">
        <f t="shared" si="3"/>
        <v>0.03340363401</v>
      </c>
      <c r="L44" s="291">
        <f t="shared" si="4"/>
        <v>2226.221264</v>
      </c>
      <c r="M44" s="292"/>
      <c r="N44" s="267"/>
      <c r="P44" s="67">
        <v>27.0</v>
      </c>
      <c r="Q44" s="300" t="s">
        <v>81</v>
      </c>
      <c r="R44" s="69">
        <v>0.0</v>
      </c>
      <c r="S44" s="274"/>
      <c r="T44" s="289">
        <v>0.0</v>
      </c>
      <c r="U44" s="289">
        <v>28700.0</v>
      </c>
      <c r="V44" s="289">
        <f t="shared" si="1"/>
        <v>28700</v>
      </c>
      <c r="W44" s="267"/>
      <c r="X44" s="267"/>
      <c r="Y44" s="267"/>
      <c r="Z44" s="267"/>
      <c r="AA44" s="267"/>
      <c r="AB44" s="267"/>
    </row>
    <row r="45">
      <c r="C45" s="267"/>
      <c r="D45" s="67">
        <v>27.0</v>
      </c>
      <c r="E45" s="300" t="s">
        <v>73</v>
      </c>
      <c r="F45" s="69">
        <v>0.0</v>
      </c>
      <c r="G45" s="274"/>
      <c r="H45" s="289">
        <v>43579.766536964984</v>
      </c>
      <c r="I45" s="289">
        <v>11900.0</v>
      </c>
      <c r="J45" s="289">
        <f t="shared" si="6"/>
        <v>55479.76654</v>
      </c>
      <c r="K45" s="290">
        <f t="shared" si="3"/>
        <v>0.02697196416</v>
      </c>
      <c r="L45" s="291">
        <f t="shared" si="4"/>
        <v>1797.575681</v>
      </c>
      <c r="M45" s="292"/>
      <c r="N45" s="267"/>
      <c r="P45" s="67">
        <v>28.0</v>
      </c>
      <c r="Q45" s="300" t="s">
        <v>83</v>
      </c>
      <c r="R45" s="69">
        <v>0.0</v>
      </c>
      <c r="S45" s="274"/>
      <c r="T45" s="289">
        <v>0.0</v>
      </c>
      <c r="U45" s="289">
        <v>10200.0</v>
      </c>
      <c r="V45" s="289">
        <f t="shared" si="1"/>
        <v>10200</v>
      </c>
      <c r="W45" s="267"/>
      <c r="X45" s="267"/>
      <c r="Y45" s="267"/>
      <c r="Z45" s="267"/>
      <c r="AA45" s="267"/>
      <c r="AB45" s="267"/>
    </row>
    <row r="46">
      <c r="C46" s="267"/>
      <c r="D46" s="67">
        <v>28.0</v>
      </c>
      <c r="E46" s="300" t="s">
        <v>75</v>
      </c>
      <c r="F46" s="69">
        <v>0.0</v>
      </c>
      <c r="G46" s="274"/>
      <c r="H46" s="289">
        <v>0.0</v>
      </c>
      <c r="I46" s="289">
        <v>35900.0</v>
      </c>
      <c r="J46" s="289">
        <f t="shared" si="6"/>
        <v>35900</v>
      </c>
      <c r="K46" s="290">
        <f t="shared" si="3"/>
        <v>0.01745309279</v>
      </c>
      <c r="L46" s="291">
        <f t="shared" si="4"/>
        <v>1163.180218</v>
      </c>
      <c r="M46" s="292"/>
      <c r="N46" s="267"/>
      <c r="P46" s="67">
        <v>29.0</v>
      </c>
      <c r="W46" s="267"/>
      <c r="X46" s="267"/>
      <c r="Y46" s="267"/>
      <c r="Z46" s="267"/>
      <c r="AA46" s="267"/>
      <c r="AB46" s="267"/>
    </row>
    <row r="47">
      <c r="C47" s="267"/>
      <c r="D47" s="67">
        <v>29.0</v>
      </c>
      <c r="E47" s="300" t="s">
        <v>77</v>
      </c>
      <c r="F47" s="69">
        <v>0.0</v>
      </c>
      <c r="G47" s="274"/>
      <c r="H47" s="289">
        <v>0.0</v>
      </c>
      <c r="I47" s="289">
        <v>15000.0</v>
      </c>
      <c r="J47" s="289">
        <f t="shared" si="6"/>
        <v>15000</v>
      </c>
      <c r="K47" s="290">
        <f t="shared" si="3"/>
        <v>0.007292378604</v>
      </c>
      <c r="L47" s="291">
        <f t="shared" si="4"/>
        <v>486.0084478</v>
      </c>
      <c r="M47" s="292"/>
      <c r="N47" s="267"/>
      <c r="P47" s="67">
        <v>30.0</v>
      </c>
      <c r="W47" s="267"/>
      <c r="X47" s="267"/>
      <c r="Y47" s="267"/>
      <c r="Z47" s="267"/>
      <c r="AA47" s="267"/>
      <c r="AB47" s="267"/>
    </row>
    <row r="48">
      <c r="C48" s="267"/>
      <c r="D48" s="67">
        <v>30.0</v>
      </c>
      <c r="E48" s="300" t="s">
        <v>79</v>
      </c>
      <c r="F48" s="69">
        <v>0.0</v>
      </c>
      <c r="G48" s="274"/>
      <c r="H48" s="289">
        <v>0.0</v>
      </c>
      <c r="I48" s="289">
        <v>20100.0</v>
      </c>
      <c r="J48" s="289">
        <f t="shared" si="6"/>
        <v>20100</v>
      </c>
      <c r="K48" s="290">
        <f t="shared" si="3"/>
        <v>0.009771787329</v>
      </c>
      <c r="L48" s="291">
        <f t="shared" si="4"/>
        <v>651.2513201</v>
      </c>
      <c r="M48" s="292"/>
      <c r="N48" s="267"/>
      <c r="P48" s="67">
        <v>31.0</v>
      </c>
      <c r="W48" s="267"/>
      <c r="X48" s="267"/>
      <c r="Y48" s="267"/>
      <c r="Z48" s="267"/>
      <c r="AA48" s="267"/>
      <c r="AB48" s="267"/>
    </row>
    <row r="49">
      <c r="C49" s="267"/>
      <c r="D49" s="67">
        <v>31.0</v>
      </c>
      <c r="E49" s="300" t="s">
        <v>81</v>
      </c>
      <c r="F49" s="69">
        <v>0.0</v>
      </c>
      <c r="G49" s="274"/>
      <c r="H49" s="289">
        <v>0.0</v>
      </c>
      <c r="I49" s="289">
        <v>28700.0</v>
      </c>
      <c r="J49" s="289">
        <f t="shared" si="6"/>
        <v>28700</v>
      </c>
      <c r="K49" s="290">
        <f t="shared" si="3"/>
        <v>0.01395275106</v>
      </c>
      <c r="L49" s="291">
        <f t="shared" si="4"/>
        <v>929.8961635</v>
      </c>
      <c r="M49" s="292"/>
      <c r="N49" s="267"/>
      <c r="P49" s="67">
        <v>32.0</v>
      </c>
      <c r="W49" s="267"/>
      <c r="X49" s="267"/>
      <c r="Y49" s="267"/>
      <c r="Z49" s="267"/>
      <c r="AA49" s="267"/>
      <c r="AB49" s="267"/>
    </row>
    <row r="50">
      <c r="C50" s="267"/>
      <c r="D50" s="67">
        <v>32.0</v>
      </c>
      <c r="E50" s="300" t="s">
        <v>83</v>
      </c>
      <c r="F50" s="69">
        <v>0.0</v>
      </c>
      <c r="G50" s="274"/>
      <c r="H50" s="289">
        <v>0.0</v>
      </c>
      <c r="I50" s="289">
        <v>10200.0</v>
      </c>
      <c r="J50" s="289">
        <f t="shared" si="6"/>
        <v>10200</v>
      </c>
      <c r="K50" s="290">
        <f t="shared" si="3"/>
        <v>0.00495881745</v>
      </c>
      <c r="L50" s="291">
        <f t="shared" si="4"/>
        <v>330.4857445</v>
      </c>
      <c r="M50" s="292"/>
      <c r="N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>
      <c r="C52" s="267"/>
      <c r="D52" s="267"/>
      <c r="E52" s="267"/>
      <c r="F52" s="267"/>
      <c r="G52" s="267"/>
      <c r="H52" s="267"/>
      <c r="I52" s="267"/>
      <c r="J52" s="279">
        <f>sum(J19:J50)</f>
        <v>2056942.023</v>
      </c>
      <c r="K52" s="290"/>
      <c r="L52" s="292"/>
      <c r="M52" s="301"/>
      <c r="N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>
      <c r="C54" s="267"/>
      <c r="D54" s="267"/>
      <c r="E54" s="267"/>
      <c r="F54" s="267"/>
      <c r="G54" s="267"/>
      <c r="H54" s="267"/>
      <c r="I54" s="267" t="s">
        <v>385</v>
      </c>
      <c r="J54" s="302">
        <v>3.2432432E7</v>
      </c>
      <c r="K54" s="267"/>
      <c r="L54" s="267"/>
      <c r="M54" s="267"/>
      <c r="N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>
      <c r="C55" s="267"/>
      <c r="D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>
      <c r="C56" s="267"/>
      <c r="D56" s="267"/>
      <c r="I56" s="55" t="s">
        <v>386</v>
      </c>
      <c r="J56" s="20">
        <f>J52/J54</f>
        <v>0.0634223799</v>
      </c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>
      <c r="C57" s="267"/>
      <c r="D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>
      <c r="C58" s="267"/>
      <c r="D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>
      <c r="C59" s="267"/>
      <c r="D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>
      <c r="C60" s="267"/>
      <c r="D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>
      <c r="C61" s="267"/>
      <c r="D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>
      <c r="C62" s="267"/>
      <c r="D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>
      <c r="C63" s="267"/>
      <c r="D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>
      <c r="C64" s="267"/>
      <c r="D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>
      <c r="C76" s="267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>
      <c r="C84" s="267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>
      <c r="C85" s="267"/>
      <c r="D85" s="267"/>
      <c r="E85" s="267"/>
      <c r="F85" s="267"/>
      <c r="G85" s="267"/>
      <c r="H85" s="267"/>
      <c r="I85" s="267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>
      <c r="C86" s="267"/>
      <c r="D86" s="267"/>
      <c r="E86" s="267"/>
      <c r="F86" s="267"/>
      <c r="G86" s="267"/>
      <c r="H86" s="267"/>
      <c r="I86" s="267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>
      <c r="C87" s="267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>
      <c r="C88" s="267"/>
      <c r="D88" s="267"/>
      <c r="E88" s="267"/>
      <c r="F88" s="267"/>
      <c r="G88" s="267"/>
      <c r="H88" s="267"/>
      <c r="I88" s="267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>
      <c r="C89" s="267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>
      <c r="C90" s="267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>
      <c r="C93" s="267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>
      <c r="C94" s="267"/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>
      <c r="C95" s="267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>
      <c r="C98" s="267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>
      <c r="C100" s="267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>
      <c r="C101" s="267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>
      <c r="C104" s="267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>
      <c r="C110" s="267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>
      <c r="C114" s="267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>
      <c r="C115" s="267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>
      <c r="C117" s="267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>
      <c r="C118" s="267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>
      <c r="C119" s="267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>
      <c r="C120" s="267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>
      <c r="C121" s="267"/>
      <c r="D121" s="267"/>
      <c r="E121" s="267"/>
      <c r="F121" s="267"/>
      <c r="G121" s="267"/>
      <c r="H121" s="267"/>
      <c r="I121" s="267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>
      <c r="C124" s="267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>
      <c r="C125" s="267"/>
      <c r="D125" s="267"/>
      <c r="E125" s="267"/>
      <c r="F125" s="267"/>
      <c r="G125" s="267"/>
      <c r="H125" s="267"/>
      <c r="I125" s="267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>
      <c r="C126" s="267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>
      <c r="C127" s="267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>
      <c r="C128" s="267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>
      <c r="C129" s="267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>
      <c r="C130" s="267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>
      <c r="C131" s="267"/>
      <c r="D131" s="267"/>
      <c r="E131" s="267"/>
      <c r="F131" s="267"/>
      <c r="G131" s="267"/>
      <c r="H131" s="267"/>
      <c r="I131" s="267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>
      <c r="C132" s="267"/>
      <c r="D132" s="267"/>
      <c r="E132" s="267"/>
      <c r="F132" s="267"/>
      <c r="G132" s="267"/>
      <c r="H132" s="267"/>
      <c r="I132" s="267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>
      <c r="C133" s="267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>
      <c r="C134" s="267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>
      <c r="C136" s="267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>
      <c r="C137" s="267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>
      <c r="C138" s="267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>
      <c r="C139" s="267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>
      <c r="C140" s="267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>
      <c r="C142" s="267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>
      <c r="C144" s="267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>
      <c r="C146" s="267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>
      <c r="C148" s="267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>
      <c r="C149" s="267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>
      <c r="C150" s="267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>
      <c r="C151" s="267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>
      <c r="C152" s="267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>
      <c r="C155" s="267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>
      <c r="C156" s="267"/>
      <c r="D156" s="267"/>
      <c r="E156" s="267"/>
      <c r="F156" s="267"/>
      <c r="G156" s="267"/>
      <c r="H156" s="267"/>
      <c r="I156" s="267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>
      <c r="C157" s="267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>
      <c r="C158" s="267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>
      <c r="C163" s="267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>
      <c r="C164" s="267"/>
      <c r="D164" s="267"/>
      <c r="E164" s="267"/>
      <c r="F164" s="267"/>
      <c r="G164" s="267"/>
      <c r="H164" s="267"/>
      <c r="I164" s="267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>
      <c r="C165" s="267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>
      <c r="C166" s="267"/>
      <c r="D166" s="267"/>
      <c r="E166" s="267"/>
      <c r="F166" s="267"/>
      <c r="G166" s="267"/>
      <c r="H166" s="267"/>
      <c r="I166" s="267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>
      <c r="C167" s="267"/>
      <c r="D167" s="267"/>
      <c r="E167" s="267"/>
      <c r="F167" s="267"/>
      <c r="G167" s="267"/>
      <c r="H167" s="267"/>
      <c r="I167" s="267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>
      <c r="C168" s="267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>
      <c r="C169" s="267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>
      <c r="C170" s="267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>
      <c r="C171" s="267"/>
      <c r="D171" s="267"/>
      <c r="E171" s="267"/>
      <c r="F171" s="267"/>
      <c r="G171" s="267"/>
      <c r="H171" s="267"/>
      <c r="I171" s="267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>
      <c r="C172" s="267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>
      <c r="C173" s="267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>
      <c r="C175" s="267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>
      <c r="C177" s="267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>
      <c r="C178" s="267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>
      <c r="C179" s="267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>
      <c r="C180" s="267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>
      <c r="C181" s="267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>
      <c r="C183" s="267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>
      <c r="C185" s="267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>
      <c r="C186" s="267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>
      <c r="C188" s="267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>
      <c r="C189" s="267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>
      <c r="C192" s="267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>
      <c r="C194" s="267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>
      <c r="C195" s="267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>
      <c r="C196" s="267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>
      <c r="C199" s="267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>
      <c r="C203" s="267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>
      <c r="C204" s="267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>
      <c r="C205" s="267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>
      <c r="C206" s="267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>
      <c r="C207" s="267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>
      <c r="C208" s="267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>
      <c r="C209" s="267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>
      <c r="C210" s="267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>
      <c r="C211" s="267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>
      <c r="C212" s="267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>
      <c r="C213" s="267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>
      <c r="C214" s="267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>
      <c r="C215" s="267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>
      <c r="C216" s="267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>
      <c r="C217" s="267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>
      <c r="C218" s="267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>
      <c r="C219" s="267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>
      <c r="C220" s="267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>
      <c r="C222" s="267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>
      <c r="C223" s="267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>
      <c r="C224" s="267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>
      <c r="C225" s="267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>
      <c r="C226" s="267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>
      <c r="C229" s="267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>
      <c r="C231" s="267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>
      <c r="C232" s="267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>
      <c r="C233" s="267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>
      <c r="C234" s="267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>
      <c r="C235" s="267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>
      <c r="C236" s="267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>
      <c r="C240" s="267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>
      <c r="C241" s="267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>
      <c r="C242" s="267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>
      <c r="C245" s="267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>
      <c r="C246" s="267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>
      <c r="C248" s="267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>
      <c r="C249" s="267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>
      <c r="C250" s="267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>
      <c r="C251" s="267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>
      <c r="C252" s="267"/>
      <c r="D252" s="267"/>
      <c r="E252" s="267"/>
      <c r="F252" s="267"/>
      <c r="G252" s="267"/>
      <c r="H252" s="267"/>
      <c r="I252" s="267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>
      <c r="C253" s="267"/>
      <c r="D253" s="267"/>
      <c r="E253" s="267"/>
      <c r="F253" s="267"/>
      <c r="G253" s="267"/>
      <c r="H253" s="267"/>
      <c r="I253" s="267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>
      <c r="C254" s="267"/>
      <c r="D254" s="267"/>
      <c r="E254" s="267"/>
      <c r="F254" s="267"/>
      <c r="G254" s="267"/>
      <c r="H254" s="267"/>
      <c r="I254" s="267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>
      <c r="C255" s="267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>
      <c r="C256" s="267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>
      <c r="C257" s="267"/>
      <c r="D257" s="267"/>
      <c r="E257" s="267"/>
      <c r="F257" s="267"/>
      <c r="G257" s="267"/>
      <c r="H257" s="267"/>
      <c r="I257" s="267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>
      <c r="C259" s="267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>
      <c r="C260" s="267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>
      <c r="C261" s="267"/>
      <c r="D261" s="267"/>
      <c r="E261" s="267"/>
      <c r="F261" s="267"/>
      <c r="G261" s="267"/>
      <c r="H261" s="267"/>
      <c r="I261" s="267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>
      <c r="C262" s="267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>
      <c r="C263" s="267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>
      <c r="C264" s="267"/>
      <c r="D264" s="267"/>
      <c r="E264" s="267"/>
      <c r="F264" s="267"/>
      <c r="G264" s="267"/>
      <c r="H264" s="267"/>
      <c r="I264" s="267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>
      <c r="C265" s="267"/>
      <c r="D265" s="267"/>
      <c r="E265" s="267"/>
      <c r="F265" s="267"/>
      <c r="G265" s="267"/>
      <c r="H265" s="267"/>
      <c r="I265" s="267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>
      <c r="C266" s="267"/>
      <c r="D266" s="267"/>
      <c r="E266" s="267"/>
      <c r="F266" s="267"/>
      <c r="G266" s="267"/>
      <c r="H266" s="267"/>
      <c r="I266" s="267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>
      <c r="C267" s="267"/>
      <c r="D267" s="267"/>
      <c r="E267" s="267"/>
      <c r="F267" s="267"/>
      <c r="G267" s="267"/>
      <c r="H267" s="267"/>
      <c r="I267" s="267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>
      <c r="C268" s="267"/>
      <c r="D268" s="267"/>
      <c r="E268" s="267"/>
      <c r="F268" s="267"/>
      <c r="G268" s="267"/>
      <c r="H268" s="267"/>
      <c r="I268" s="267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>
      <c r="C269" s="267"/>
      <c r="D269" s="267"/>
      <c r="E269" s="267"/>
      <c r="F269" s="267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>
      <c r="C270" s="267"/>
      <c r="D270" s="267"/>
      <c r="E270" s="267"/>
      <c r="F270" s="267"/>
      <c r="G270" s="267"/>
      <c r="H270" s="267"/>
      <c r="I270" s="267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>
      <c r="C271" s="267"/>
      <c r="D271" s="267"/>
      <c r="E271" s="267"/>
      <c r="F271" s="267"/>
      <c r="G271" s="267"/>
      <c r="H271" s="267"/>
      <c r="I271" s="267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>
      <c r="C272" s="267"/>
      <c r="D272" s="267"/>
      <c r="E272" s="267"/>
      <c r="F272" s="267"/>
      <c r="G272" s="267"/>
      <c r="H272" s="267"/>
      <c r="I272" s="267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>
      <c r="C273" s="267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>
      <c r="C274" s="267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>
      <c r="C275" s="267"/>
      <c r="D275" s="267"/>
      <c r="E275" s="267"/>
      <c r="F275" s="267"/>
      <c r="G275" s="267"/>
      <c r="H275" s="267"/>
      <c r="I275" s="267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>
      <c r="C276" s="267"/>
      <c r="D276" s="267"/>
      <c r="E276" s="267"/>
      <c r="F276" s="267"/>
      <c r="G276" s="267"/>
      <c r="H276" s="267"/>
      <c r="I276" s="267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>
      <c r="C277" s="267"/>
      <c r="D277" s="267"/>
      <c r="E277" s="267"/>
      <c r="F277" s="267"/>
      <c r="G277" s="267"/>
      <c r="H277" s="267"/>
      <c r="I277" s="267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>
      <c r="C278" s="267"/>
      <c r="D278" s="267"/>
      <c r="E278" s="267"/>
      <c r="F278" s="267"/>
      <c r="G278" s="267"/>
      <c r="H278" s="267"/>
      <c r="I278" s="267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>
      <c r="C279" s="267"/>
      <c r="D279" s="267"/>
      <c r="E279" s="267"/>
      <c r="F279" s="267"/>
      <c r="G279" s="267"/>
      <c r="H279" s="267"/>
      <c r="I279" s="267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>
      <c r="C280" s="267"/>
      <c r="D280" s="267"/>
      <c r="E280" s="267"/>
      <c r="F280" s="267"/>
      <c r="G280" s="267"/>
      <c r="H280" s="267"/>
      <c r="I280" s="267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>
      <c r="C281" s="267"/>
      <c r="D281" s="267"/>
      <c r="E281" s="267"/>
      <c r="F281" s="267"/>
      <c r="G281" s="267"/>
      <c r="H281" s="267"/>
      <c r="I281" s="267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>
      <c r="C282" s="267"/>
      <c r="D282" s="267"/>
      <c r="E282" s="267"/>
      <c r="F282" s="267"/>
      <c r="G282" s="267"/>
      <c r="H282" s="267"/>
      <c r="I282" s="267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>
      <c r="C283" s="267"/>
      <c r="D283" s="267"/>
      <c r="E283" s="267"/>
      <c r="F283" s="267"/>
      <c r="G283" s="267"/>
      <c r="H283" s="267"/>
      <c r="I283" s="267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>
      <c r="C284" s="267"/>
      <c r="D284" s="267"/>
      <c r="E284" s="267"/>
      <c r="F284" s="267"/>
      <c r="G284" s="267"/>
      <c r="H284" s="267"/>
      <c r="I284" s="267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>
      <c r="C285" s="267"/>
      <c r="D285" s="267"/>
      <c r="E285" s="267"/>
      <c r="F285" s="267"/>
      <c r="G285" s="267"/>
      <c r="H285" s="267"/>
      <c r="I285" s="267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>
      <c r="C286" s="267"/>
      <c r="D286" s="267"/>
      <c r="E286" s="267"/>
      <c r="F286" s="267"/>
      <c r="G286" s="267"/>
      <c r="H286" s="267"/>
      <c r="I286" s="267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>
      <c r="C287" s="267"/>
      <c r="D287" s="267"/>
      <c r="E287" s="267"/>
      <c r="F287" s="267"/>
      <c r="G287" s="267"/>
      <c r="H287" s="267"/>
      <c r="I287" s="267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>
      <c r="C288" s="267"/>
      <c r="D288" s="267"/>
      <c r="E288" s="267"/>
      <c r="F288" s="267"/>
      <c r="G288" s="267"/>
      <c r="H288" s="267"/>
      <c r="I288" s="267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>
      <c r="C290" s="267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>
      <c r="C291" s="267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>
      <c r="C292" s="267"/>
      <c r="D292" s="267"/>
      <c r="E292" s="267"/>
      <c r="F292" s="267"/>
      <c r="G292" s="267"/>
      <c r="H292" s="267"/>
      <c r="I292" s="267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>
      <c r="C293" s="267"/>
      <c r="D293" s="267"/>
      <c r="E293" s="267"/>
      <c r="F293" s="267"/>
      <c r="G293" s="267"/>
      <c r="H293" s="267"/>
      <c r="I293" s="267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>
      <c r="C294" s="267"/>
      <c r="D294" s="267"/>
      <c r="E294" s="267"/>
      <c r="F294" s="267"/>
      <c r="G294" s="267"/>
      <c r="H294" s="267"/>
      <c r="I294" s="267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>
      <c r="C295" s="267"/>
      <c r="D295" s="267"/>
      <c r="E295" s="267"/>
      <c r="F295" s="267"/>
      <c r="G295" s="267"/>
      <c r="H295" s="267"/>
      <c r="I295" s="267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>
      <c r="C296" s="267"/>
      <c r="D296" s="267"/>
      <c r="E296" s="267"/>
      <c r="F296" s="267"/>
      <c r="G296" s="267"/>
      <c r="H296" s="267"/>
      <c r="I296" s="267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>
      <c r="C297" s="267"/>
      <c r="D297" s="267"/>
      <c r="E297" s="267"/>
      <c r="F297" s="267"/>
      <c r="G297" s="267"/>
      <c r="H297" s="267"/>
      <c r="I297" s="267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>
      <c r="C298" s="267"/>
      <c r="D298" s="267"/>
      <c r="E298" s="267"/>
      <c r="F298" s="267"/>
      <c r="G298" s="267"/>
      <c r="H298" s="267"/>
      <c r="I298" s="267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>
      <c r="C299" s="267"/>
      <c r="D299" s="267"/>
      <c r="E299" s="267"/>
      <c r="F299" s="267"/>
      <c r="G299" s="267"/>
      <c r="H299" s="267"/>
      <c r="I299" s="267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>
      <c r="C300" s="267"/>
      <c r="D300" s="267"/>
      <c r="E300" s="267"/>
      <c r="F300" s="267"/>
      <c r="G300" s="267"/>
      <c r="H300" s="267"/>
      <c r="I300" s="267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>
      <c r="C301" s="267"/>
      <c r="D301" s="267"/>
      <c r="E301" s="267"/>
      <c r="F301" s="267"/>
      <c r="G301" s="267"/>
      <c r="H301" s="267"/>
      <c r="I301" s="267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>
      <c r="C302" s="267"/>
      <c r="D302" s="267"/>
      <c r="E302" s="267"/>
      <c r="F302" s="267"/>
      <c r="G302" s="267"/>
      <c r="H302" s="267"/>
      <c r="I302" s="267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>
      <c r="C303" s="267"/>
      <c r="D303" s="267"/>
      <c r="E303" s="267"/>
      <c r="F303" s="267"/>
      <c r="G303" s="267"/>
      <c r="H303" s="267"/>
      <c r="I303" s="267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>
      <c r="C304" s="267"/>
      <c r="D304" s="267"/>
      <c r="E304" s="267"/>
      <c r="F304" s="267"/>
      <c r="G304" s="267"/>
      <c r="H304" s="267"/>
      <c r="I304" s="267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>
      <c r="C305" s="267"/>
      <c r="D305" s="267"/>
      <c r="E305" s="267"/>
      <c r="F305" s="267"/>
      <c r="G305" s="267"/>
      <c r="H305" s="267"/>
      <c r="I305" s="267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>
      <c r="C306" s="267"/>
      <c r="D306" s="267"/>
      <c r="E306" s="267"/>
      <c r="F306" s="267"/>
      <c r="G306" s="267"/>
      <c r="H306" s="267"/>
      <c r="I306" s="267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>
      <c r="C307" s="267"/>
      <c r="D307" s="267"/>
      <c r="E307" s="267"/>
      <c r="F307" s="267"/>
      <c r="G307" s="267"/>
      <c r="H307" s="267"/>
      <c r="I307" s="267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>
      <c r="C308" s="267"/>
      <c r="D308" s="267"/>
      <c r="E308" s="267"/>
      <c r="F308" s="267"/>
      <c r="G308" s="267"/>
      <c r="H308" s="267"/>
      <c r="I308" s="267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>
      <c r="C309" s="267"/>
      <c r="D309" s="267"/>
      <c r="E309" s="267"/>
      <c r="F309" s="267"/>
      <c r="G309" s="267"/>
      <c r="H309" s="267"/>
      <c r="I309" s="267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>
      <c r="C310" s="267"/>
      <c r="D310" s="267"/>
      <c r="E310" s="267"/>
      <c r="F310" s="267"/>
      <c r="G310" s="267"/>
      <c r="H310" s="267"/>
      <c r="I310" s="267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>
      <c r="C311" s="267"/>
      <c r="D311" s="267"/>
      <c r="E311" s="267"/>
      <c r="F311" s="267"/>
      <c r="G311" s="267"/>
      <c r="H311" s="267"/>
      <c r="I311" s="267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>
      <c r="C312" s="267"/>
      <c r="D312" s="267"/>
      <c r="E312" s="267"/>
      <c r="F312" s="267"/>
      <c r="G312" s="267"/>
      <c r="H312" s="267"/>
      <c r="I312" s="267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>
      <c r="C313" s="267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>
      <c r="C314" s="267"/>
      <c r="D314" s="267"/>
      <c r="E314" s="267"/>
      <c r="F314" s="267"/>
      <c r="G314" s="267"/>
      <c r="H314" s="267"/>
      <c r="I314" s="267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>
      <c r="C315" s="267"/>
      <c r="D315" s="267"/>
      <c r="E315" s="267"/>
      <c r="F315" s="267"/>
      <c r="G315" s="267"/>
      <c r="H315" s="267"/>
      <c r="I315" s="267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>
      <c r="C316" s="267"/>
      <c r="D316" s="267"/>
      <c r="E316" s="267"/>
      <c r="F316" s="267"/>
      <c r="G316" s="267"/>
      <c r="H316" s="267"/>
      <c r="I316" s="267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>
      <c r="C317" s="267"/>
      <c r="D317" s="267"/>
      <c r="E317" s="267"/>
      <c r="F317" s="267"/>
      <c r="G317" s="267"/>
      <c r="H317" s="267"/>
      <c r="I317" s="267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>
      <c r="C318" s="267"/>
      <c r="D318" s="267"/>
      <c r="E318" s="267"/>
      <c r="F318" s="267"/>
      <c r="G318" s="267"/>
      <c r="H318" s="267"/>
      <c r="I318" s="267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>
      <c r="C319" s="267"/>
      <c r="D319" s="267"/>
      <c r="E319" s="267"/>
      <c r="F319" s="267"/>
      <c r="G319" s="267"/>
      <c r="H319" s="267"/>
      <c r="I319" s="267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>
      <c r="C320" s="267"/>
      <c r="D320" s="267"/>
      <c r="E320" s="267"/>
      <c r="F320" s="267"/>
      <c r="G320" s="267"/>
      <c r="H320" s="267"/>
      <c r="I320" s="267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>
      <c r="C321" s="267"/>
      <c r="D321" s="267"/>
      <c r="E321" s="267"/>
      <c r="F321" s="267"/>
      <c r="G321" s="267"/>
      <c r="H321" s="267"/>
      <c r="I321" s="267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>
      <c r="C322" s="267"/>
      <c r="D322" s="267"/>
      <c r="E322" s="267"/>
      <c r="F322" s="267"/>
      <c r="G322" s="267"/>
      <c r="H322" s="267"/>
      <c r="I322" s="267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>
      <c r="C323" s="267"/>
      <c r="D323" s="267"/>
      <c r="E323" s="267"/>
      <c r="F323" s="267"/>
      <c r="G323" s="267"/>
      <c r="H323" s="267"/>
      <c r="I323" s="267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>
      <c r="C324" s="267"/>
      <c r="D324" s="267"/>
      <c r="E324" s="267"/>
      <c r="F324" s="267"/>
      <c r="G324" s="267"/>
      <c r="H324" s="267"/>
      <c r="I324" s="267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>
      <c r="C325" s="267"/>
      <c r="D325" s="267"/>
      <c r="E325" s="267"/>
      <c r="F325" s="267"/>
      <c r="G325" s="267"/>
      <c r="H325" s="267"/>
      <c r="I325" s="267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>
      <c r="C326" s="267"/>
      <c r="D326" s="267"/>
      <c r="E326" s="267"/>
      <c r="F326" s="267"/>
      <c r="G326" s="267"/>
      <c r="H326" s="267"/>
      <c r="I326" s="267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>
      <c r="C327" s="267"/>
      <c r="D327" s="267"/>
      <c r="E327" s="267"/>
      <c r="F327" s="267"/>
      <c r="G327" s="267"/>
      <c r="H327" s="267"/>
      <c r="I327" s="267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>
      <c r="C328" s="267"/>
      <c r="D328" s="267"/>
      <c r="E328" s="267"/>
      <c r="F328" s="267"/>
      <c r="G328" s="267"/>
      <c r="H328" s="267"/>
      <c r="I328" s="267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>
      <c r="C329" s="267"/>
      <c r="D329" s="267"/>
      <c r="E329" s="267"/>
      <c r="F329" s="267"/>
      <c r="G329" s="267"/>
      <c r="H329" s="267"/>
      <c r="I329" s="267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>
      <c r="C330" s="267"/>
      <c r="D330" s="267"/>
      <c r="E330" s="267"/>
      <c r="F330" s="267"/>
      <c r="G330" s="267"/>
      <c r="H330" s="267"/>
      <c r="I330" s="267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>
      <c r="C331" s="267"/>
      <c r="D331" s="267"/>
      <c r="E331" s="267"/>
      <c r="F331" s="267"/>
      <c r="G331" s="267"/>
      <c r="H331" s="267"/>
      <c r="I331" s="267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>
      <c r="C332" s="267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>
      <c r="C333" s="267"/>
      <c r="D333" s="267"/>
      <c r="E333" s="267"/>
      <c r="F333" s="267"/>
      <c r="G333" s="267"/>
      <c r="H333" s="267"/>
      <c r="I333" s="267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>
      <c r="C334" s="267"/>
      <c r="D334" s="267"/>
      <c r="E334" s="267"/>
      <c r="F334" s="267"/>
      <c r="G334" s="267"/>
      <c r="H334" s="267"/>
      <c r="I334" s="267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>
      <c r="C335" s="267"/>
      <c r="D335" s="267"/>
      <c r="E335" s="267"/>
      <c r="F335" s="267"/>
      <c r="G335" s="267"/>
      <c r="H335" s="267"/>
      <c r="I335" s="267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>
      <c r="C336" s="267"/>
      <c r="D336" s="267"/>
      <c r="E336" s="267"/>
      <c r="F336" s="267"/>
      <c r="G336" s="267"/>
      <c r="H336" s="267"/>
      <c r="I336" s="267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>
      <c r="C337" s="267"/>
      <c r="D337" s="267"/>
      <c r="E337" s="267"/>
      <c r="F337" s="267"/>
      <c r="G337" s="267"/>
      <c r="H337" s="267"/>
      <c r="I337" s="267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>
      <c r="C338" s="267"/>
      <c r="D338" s="267"/>
      <c r="E338" s="267"/>
      <c r="F338" s="267"/>
      <c r="G338" s="267"/>
      <c r="H338" s="267"/>
      <c r="I338" s="267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>
      <c r="C339" s="267"/>
      <c r="D339" s="267"/>
      <c r="E339" s="267"/>
      <c r="F339" s="267"/>
      <c r="G339" s="267"/>
      <c r="H339" s="267"/>
      <c r="I339" s="267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>
      <c r="C340" s="267"/>
      <c r="D340" s="267"/>
      <c r="E340" s="267"/>
      <c r="F340" s="267"/>
      <c r="G340" s="267"/>
      <c r="H340" s="267"/>
      <c r="I340" s="267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>
      <c r="C341" s="267"/>
      <c r="D341" s="267"/>
      <c r="E341" s="267"/>
      <c r="F341" s="267"/>
      <c r="G341" s="267"/>
      <c r="H341" s="267"/>
      <c r="I341" s="267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>
      <c r="C342" s="267"/>
      <c r="D342" s="267"/>
      <c r="E342" s="267"/>
      <c r="F342" s="267"/>
      <c r="G342" s="267"/>
      <c r="H342" s="267"/>
      <c r="I342" s="267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>
      <c r="C343" s="267"/>
      <c r="D343" s="267"/>
      <c r="E343" s="267"/>
      <c r="F343" s="267"/>
      <c r="G343" s="267"/>
      <c r="H343" s="267"/>
      <c r="I343" s="267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>
      <c r="C344" s="267"/>
      <c r="D344" s="267"/>
      <c r="E344" s="267"/>
      <c r="F344" s="267"/>
      <c r="G344" s="267"/>
      <c r="H344" s="267"/>
      <c r="I344" s="267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>
      <c r="C345" s="267"/>
      <c r="D345" s="267"/>
      <c r="E345" s="267"/>
      <c r="F345" s="267"/>
      <c r="G345" s="267"/>
      <c r="H345" s="267"/>
      <c r="I345" s="267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>
      <c r="C346" s="267"/>
      <c r="D346" s="267"/>
      <c r="E346" s="267"/>
      <c r="F346" s="267"/>
      <c r="G346" s="267"/>
      <c r="H346" s="267"/>
      <c r="I346" s="267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>
      <c r="C347" s="267"/>
      <c r="D347" s="267"/>
      <c r="E347" s="267"/>
      <c r="F347" s="267"/>
      <c r="G347" s="267"/>
      <c r="H347" s="267"/>
      <c r="I347" s="267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>
      <c r="C348" s="267"/>
      <c r="D348" s="267"/>
      <c r="E348" s="267"/>
      <c r="F348" s="267"/>
      <c r="G348" s="267"/>
      <c r="H348" s="267"/>
      <c r="I348" s="267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>
      <c r="C349" s="267"/>
      <c r="D349" s="267"/>
      <c r="E349" s="267"/>
      <c r="F349" s="267"/>
      <c r="G349" s="267"/>
      <c r="H349" s="267"/>
      <c r="I349" s="267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>
      <c r="C350" s="267"/>
      <c r="D350" s="267"/>
      <c r="E350" s="267"/>
      <c r="F350" s="267"/>
      <c r="G350" s="267"/>
      <c r="H350" s="267"/>
      <c r="I350" s="267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>
      <c r="C351" s="267"/>
      <c r="D351" s="267"/>
      <c r="E351" s="267"/>
      <c r="F351" s="267"/>
      <c r="G351" s="267"/>
      <c r="H351" s="267"/>
      <c r="I351" s="267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>
      <c r="C352" s="267"/>
      <c r="D352" s="267"/>
      <c r="E352" s="267"/>
      <c r="F352" s="267"/>
      <c r="G352" s="267"/>
      <c r="H352" s="267"/>
      <c r="I352" s="267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>
      <c r="C353" s="267"/>
      <c r="D353" s="267"/>
      <c r="E353" s="267"/>
      <c r="F353" s="267"/>
      <c r="G353" s="267"/>
      <c r="H353" s="267"/>
      <c r="I353" s="267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>
      <c r="C354" s="267"/>
      <c r="D354" s="267"/>
      <c r="E354" s="267"/>
      <c r="F354" s="267"/>
      <c r="G354" s="267"/>
      <c r="H354" s="267"/>
      <c r="I354" s="267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>
      <c r="C355" s="267"/>
      <c r="D355" s="267"/>
      <c r="E355" s="267"/>
      <c r="F355" s="267"/>
      <c r="G355" s="267"/>
      <c r="H355" s="267"/>
      <c r="I355" s="267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>
      <c r="C356" s="267"/>
      <c r="D356" s="267"/>
      <c r="E356" s="267"/>
      <c r="F356" s="267"/>
      <c r="G356" s="267"/>
      <c r="H356" s="267"/>
      <c r="I356" s="267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>
      <c r="C357" s="267"/>
      <c r="D357" s="267"/>
      <c r="E357" s="267"/>
      <c r="F357" s="267"/>
      <c r="G357" s="267"/>
      <c r="H357" s="267"/>
      <c r="I357" s="267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>
      <c r="C358" s="267"/>
      <c r="D358" s="267"/>
      <c r="E358" s="267"/>
      <c r="F358" s="267"/>
      <c r="G358" s="267"/>
      <c r="H358" s="267"/>
      <c r="I358" s="267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>
      <c r="C359" s="267"/>
      <c r="D359" s="267"/>
      <c r="E359" s="267"/>
      <c r="F359" s="267"/>
      <c r="G359" s="267"/>
      <c r="H359" s="267"/>
      <c r="I359" s="267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>
      <c r="C360" s="267"/>
      <c r="D360" s="267"/>
      <c r="E360" s="267"/>
      <c r="F360" s="267"/>
      <c r="G360" s="267"/>
      <c r="H360" s="267"/>
      <c r="I360" s="267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>
      <c r="C361" s="267"/>
      <c r="D361" s="267"/>
      <c r="E361" s="267"/>
      <c r="F361" s="267"/>
      <c r="G361" s="267"/>
      <c r="H361" s="267"/>
      <c r="I361" s="267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>
      <c r="C362" s="267"/>
      <c r="D362" s="267"/>
      <c r="E362" s="267"/>
      <c r="F362" s="267"/>
      <c r="G362" s="267"/>
      <c r="H362" s="267"/>
      <c r="I362" s="267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>
      <c r="C363" s="267"/>
      <c r="D363" s="267"/>
      <c r="E363" s="267"/>
      <c r="F363" s="267"/>
      <c r="G363" s="267"/>
      <c r="H363" s="267"/>
      <c r="I363" s="267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>
      <c r="C364" s="267"/>
      <c r="D364" s="267"/>
      <c r="E364" s="267"/>
      <c r="F364" s="267"/>
      <c r="G364" s="267"/>
      <c r="H364" s="267"/>
      <c r="I364" s="267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>
      <c r="C365" s="267"/>
      <c r="D365" s="267"/>
      <c r="E365" s="267"/>
      <c r="F365" s="267"/>
      <c r="G365" s="267"/>
      <c r="H365" s="267"/>
      <c r="I365" s="267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>
      <c r="C366" s="267"/>
      <c r="D366" s="267"/>
      <c r="E366" s="267"/>
      <c r="F366" s="267"/>
      <c r="G366" s="267"/>
      <c r="H366" s="267"/>
      <c r="I366" s="267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>
      <c r="C367" s="267"/>
      <c r="D367" s="267"/>
      <c r="E367" s="267"/>
      <c r="F367" s="267"/>
      <c r="G367" s="267"/>
      <c r="H367" s="267"/>
      <c r="I367" s="267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>
      <c r="C368" s="267"/>
      <c r="D368" s="267"/>
      <c r="E368" s="267"/>
      <c r="F368" s="267"/>
      <c r="G368" s="267"/>
      <c r="H368" s="267"/>
      <c r="I368" s="267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>
      <c r="C369" s="267"/>
      <c r="D369" s="267"/>
      <c r="E369" s="267"/>
      <c r="F369" s="267"/>
      <c r="G369" s="267"/>
      <c r="H369" s="267"/>
      <c r="I369" s="267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>
      <c r="C370" s="267"/>
      <c r="D370" s="267"/>
      <c r="E370" s="267"/>
      <c r="F370" s="267"/>
      <c r="G370" s="267"/>
      <c r="H370" s="267"/>
      <c r="I370" s="267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>
      <c r="C372" s="267"/>
      <c r="D372" s="267"/>
      <c r="E372" s="267"/>
      <c r="F372" s="267"/>
      <c r="G372" s="267"/>
      <c r="H372" s="267"/>
      <c r="I372" s="267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>
      <c r="C373" s="267"/>
      <c r="D373" s="267"/>
      <c r="E373" s="267"/>
      <c r="F373" s="267"/>
      <c r="G373" s="267"/>
      <c r="H373" s="267"/>
      <c r="I373" s="267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>
      <c r="C374" s="267"/>
      <c r="D374" s="267"/>
      <c r="E374" s="267"/>
      <c r="F374" s="267"/>
      <c r="G374" s="267"/>
      <c r="H374" s="267"/>
      <c r="I374" s="267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>
      <c r="C375" s="267"/>
      <c r="D375" s="267"/>
      <c r="E375" s="267"/>
      <c r="F375" s="267"/>
      <c r="G375" s="267"/>
      <c r="H375" s="267"/>
      <c r="I375" s="267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>
      <c r="C376" s="267"/>
      <c r="D376" s="267"/>
      <c r="E376" s="267"/>
      <c r="F376" s="267"/>
      <c r="G376" s="267"/>
      <c r="H376" s="267"/>
      <c r="I376" s="267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>
      <c r="C377" s="267"/>
      <c r="D377" s="267"/>
      <c r="E377" s="267"/>
      <c r="F377" s="267"/>
      <c r="G377" s="267"/>
      <c r="H377" s="267"/>
      <c r="I377" s="267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>
      <c r="C378" s="267"/>
      <c r="D378" s="267"/>
      <c r="E378" s="267"/>
      <c r="F378" s="267"/>
      <c r="G378" s="267"/>
      <c r="H378" s="267"/>
      <c r="I378" s="267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>
      <c r="C379" s="267"/>
      <c r="D379" s="267"/>
      <c r="E379" s="267"/>
      <c r="F379" s="267"/>
      <c r="G379" s="267"/>
      <c r="H379" s="267"/>
      <c r="I379" s="267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>
      <c r="C380" s="267"/>
      <c r="D380" s="267"/>
      <c r="E380" s="267"/>
      <c r="F380" s="267"/>
      <c r="G380" s="267"/>
      <c r="H380" s="267"/>
      <c r="I380" s="267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>
      <c r="C381" s="267"/>
      <c r="D381" s="267"/>
      <c r="E381" s="267"/>
      <c r="F381" s="267"/>
      <c r="G381" s="267"/>
      <c r="H381" s="267"/>
      <c r="I381" s="267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>
      <c r="C382" s="267"/>
      <c r="D382" s="267"/>
      <c r="E382" s="267"/>
      <c r="F382" s="267"/>
      <c r="G382" s="267"/>
      <c r="H382" s="267"/>
      <c r="I382" s="267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>
      <c r="C383" s="267"/>
      <c r="D383" s="267"/>
      <c r="E383" s="267"/>
      <c r="F383" s="267"/>
      <c r="G383" s="267"/>
      <c r="H383" s="267"/>
      <c r="I383" s="267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>
      <c r="C384" s="267"/>
      <c r="D384" s="267"/>
      <c r="E384" s="267"/>
      <c r="F384" s="267"/>
      <c r="G384" s="267"/>
      <c r="H384" s="267"/>
      <c r="I384" s="267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>
      <c r="C385" s="267"/>
      <c r="D385" s="267"/>
      <c r="E385" s="267"/>
      <c r="F385" s="267"/>
      <c r="G385" s="267"/>
      <c r="H385" s="267"/>
      <c r="I385" s="267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>
      <c r="C386" s="267"/>
      <c r="D386" s="267"/>
      <c r="E386" s="267"/>
      <c r="F386" s="267"/>
      <c r="G386" s="267"/>
      <c r="H386" s="267"/>
      <c r="I386" s="267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>
      <c r="C387" s="267"/>
      <c r="D387" s="267"/>
      <c r="E387" s="267"/>
      <c r="F387" s="267"/>
      <c r="G387" s="267"/>
      <c r="H387" s="267"/>
      <c r="I387" s="267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>
      <c r="C388" s="267"/>
      <c r="D388" s="267"/>
      <c r="E388" s="267"/>
      <c r="F388" s="267"/>
      <c r="G388" s="267"/>
      <c r="H388" s="267"/>
      <c r="I388" s="267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>
      <c r="C389" s="267"/>
      <c r="D389" s="267"/>
      <c r="E389" s="267"/>
      <c r="F389" s="267"/>
      <c r="G389" s="267"/>
      <c r="H389" s="267"/>
      <c r="I389" s="267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>
      <c r="C390" s="267"/>
      <c r="D390" s="267"/>
      <c r="E390" s="267"/>
      <c r="F390" s="267"/>
      <c r="G390" s="267"/>
      <c r="H390" s="267"/>
      <c r="I390" s="267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>
      <c r="C391" s="267"/>
      <c r="D391" s="267"/>
      <c r="E391" s="267"/>
      <c r="F391" s="267"/>
      <c r="G391" s="267"/>
      <c r="H391" s="267"/>
      <c r="I391" s="267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>
      <c r="C392" s="267"/>
      <c r="D392" s="267"/>
      <c r="E392" s="267"/>
      <c r="F392" s="267"/>
      <c r="G392" s="267"/>
      <c r="H392" s="267"/>
      <c r="I392" s="267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>
      <c r="C393" s="267"/>
      <c r="D393" s="267"/>
      <c r="E393" s="267"/>
      <c r="F393" s="267"/>
      <c r="G393" s="267"/>
      <c r="H393" s="267"/>
      <c r="I393" s="267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>
      <c r="C394" s="267"/>
      <c r="D394" s="267"/>
      <c r="E394" s="267"/>
      <c r="F394" s="267"/>
      <c r="G394" s="267"/>
      <c r="H394" s="267"/>
      <c r="I394" s="267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>
      <c r="C395" s="267"/>
      <c r="D395" s="267"/>
      <c r="E395" s="267"/>
      <c r="F395" s="267"/>
      <c r="G395" s="267"/>
      <c r="H395" s="267"/>
      <c r="I395" s="267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>
      <c r="C396" s="267"/>
      <c r="D396" s="267"/>
      <c r="E396" s="267"/>
      <c r="F396" s="267"/>
      <c r="G396" s="267"/>
      <c r="H396" s="267"/>
      <c r="I396" s="267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>
      <c r="C397" s="267"/>
      <c r="D397" s="267"/>
      <c r="E397" s="267"/>
      <c r="F397" s="267"/>
      <c r="G397" s="267"/>
      <c r="H397" s="267"/>
      <c r="I397" s="267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>
      <c r="C398" s="267"/>
      <c r="D398" s="267"/>
      <c r="E398" s="267"/>
      <c r="F398" s="267"/>
      <c r="G398" s="267"/>
      <c r="H398" s="267"/>
      <c r="I398" s="267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>
      <c r="C399" s="267"/>
      <c r="D399" s="267"/>
      <c r="E399" s="267"/>
      <c r="F399" s="267"/>
      <c r="G399" s="267"/>
      <c r="H399" s="267"/>
      <c r="I399" s="267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>
      <c r="C400" s="267"/>
      <c r="D400" s="267"/>
      <c r="E400" s="267"/>
      <c r="F400" s="267"/>
      <c r="G400" s="267"/>
      <c r="H400" s="267"/>
      <c r="I400" s="267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>
      <c r="C401" s="267"/>
      <c r="D401" s="267"/>
      <c r="E401" s="267"/>
      <c r="F401" s="267"/>
      <c r="G401" s="267"/>
      <c r="H401" s="267"/>
      <c r="I401" s="267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>
      <c r="C402" s="267"/>
      <c r="D402" s="267"/>
      <c r="E402" s="267"/>
      <c r="F402" s="267"/>
      <c r="G402" s="267"/>
      <c r="H402" s="267"/>
      <c r="I402" s="267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>
      <c r="C403" s="267"/>
      <c r="D403" s="267"/>
      <c r="E403" s="267"/>
      <c r="F403" s="267"/>
      <c r="G403" s="267"/>
      <c r="H403" s="267"/>
      <c r="I403" s="267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>
      <c r="C404" s="267"/>
      <c r="D404" s="267"/>
      <c r="E404" s="267"/>
      <c r="F404" s="267"/>
      <c r="G404" s="267"/>
      <c r="H404" s="267"/>
      <c r="I404" s="267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>
      <c r="C405" s="267"/>
      <c r="D405" s="267"/>
      <c r="E405" s="267"/>
      <c r="F405" s="267"/>
      <c r="G405" s="267"/>
      <c r="H405" s="267"/>
      <c r="I405" s="267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>
      <c r="C406" s="267"/>
      <c r="D406" s="267"/>
      <c r="E406" s="267"/>
      <c r="F406" s="267"/>
      <c r="G406" s="267"/>
      <c r="H406" s="267"/>
      <c r="I406" s="267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>
      <c r="C407" s="267"/>
      <c r="D407" s="267"/>
      <c r="E407" s="267"/>
      <c r="F407" s="267"/>
      <c r="G407" s="267"/>
      <c r="H407" s="267"/>
      <c r="I407" s="267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>
      <c r="C408" s="267"/>
      <c r="D408" s="267"/>
      <c r="E408" s="267"/>
      <c r="F408" s="267"/>
      <c r="G408" s="267"/>
      <c r="H408" s="267"/>
      <c r="I408" s="267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>
      <c r="C410" s="267"/>
      <c r="D410" s="267"/>
      <c r="E410" s="267"/>
      <c r="F410" s="267"/>
      <c r="G410" s="267"/>
      <c r="H410" s="267"/>
      <c r="I410" s="267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>
      <c r="C411" s="267"/>
      <c r="D411" s="267"/>
      <c r="E411" s="267"/>
      <c r="F411" s="267"/>
      <c r="G411" s="267"/>
      <c r="H411" s="267"/>
      <c r="I411" s="267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>
      <c r="C412" s="267"/>
      <c r="D412" s="267"/>
      <c r="E412" s="267"/>
      <c r="F412" s="267"/>
      <c r="G412" s="267"/>
      <c r="H412" s="267"/>
      <c r="I412" s="267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>
      <c r="C413" s="267"/>
      <c r="D413" s="267"/>
      <c r="E413" s="267"/>
      <c r="F413" s="267"/>
      <c r="G413" s="267"/>
      <c r="H413" s="267"/>
      <c r="I413" s="267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>
      <c r="C414" s="267"/>
      <c r="D414" s="267"/>
      <c r="E414" s="267"/>
      <c r="F414" s="267"/>
      <c r="G414" s="267"/>
      <c r="H414" s="267"/>
      <c r="I414" s="267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>
      <c r="C415" s="267"/>
      <c r="D415" s="267"/>
      <c r="E415" s="267"/>
      <c r="F415" s="267"/>
      <c r="G415" s="267"/>
      <c r="H415" s="267"/>
      <c r="I415" s="267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>
      <c r="C416" s="267"/>
      <c r="D416" s="267"/>
      <c r="E416" s="267"/>
      <c r="F416" s="267"/>
      <c r="G416" s="267"/>
      <c r="H416" s="267"/>
      <c r="I416" s="267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>
      <c r="C417" s="267"/>
      <c r="D417" s="267"/>
      <c r="E417" s="267"/>
      <c r="F417" s="267"/>
      <c r="G417" s="267"/>
      <c r="H417" s="267"/>
      <c r="I417" s="267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>
      <c r="C418" s="267"/>
      <c r="D418" s="267"/>
      <c r="E418" s="267"/>
      <c r="F418" s="267"/>
      <c r="G418" s="267"/>
      <c r="H418" s="267"/>
      <c r="I418" s="267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>
      <c r="C419" s="267"/>
      <c r="D419" s="267"/>
      <c r="E419" s="267"/>
      <c r="F419" s="267"/>
      <c r="G419" s="267"/>
      <c r="H419" s="267"/>
      <c r="I419" s="267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>
      <c r="C420" s="267"/>
      <c r="D420" s="267"/>
      <c r="E420" s="267"/>
      <c r="F420" s="267"/>
      <c r="G420" s="267"/>
      <c r="H420" s="267"/>
      <c r="I420" s="267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>
      <c r="C421" s="267"/>
      <c r="D421" s="267"/>
      <c r="E421" s="267"/>
      <c r="F421" s="267"/>
      <c r="G421" s="267"/>
      <c r="H421" s="267"/>
      <c r="I421" s="267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>
      <c r="C422" s="267"/>
      <c r="D422" s="267"/>
      <c r="E422" s="267"/>
      <c r="F422" s="267"/>
      <c r="G422" s="267"/>
      <c r="H422" s="267"/>
      <c r="I422" s="267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>
      <c r="C423" s="267"/>
      <c r="D423" s="267"/>
      <c r="E423" s="267"/>
      <c r="F423" s="267"/>
      <c r="G423" s="267"/>
      <c r="H423" s="267"/>
      <c r="I423" s="267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>
      <c r="C424" s="267"/>
      <c r="D424" s="267"/>
      <c r="E424" s="267"/>
      <c r="F424" s="267"/>
      <c r="G424" s="267"/>
      <c r="H424" s="267"/>
      <c r="I424" s="267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>
      <c r="C425" s="267"/>
      <c r="D425" s="267"/>
      <c r="E425" s="267"/>
      <c r="F425" s="267"/>
      <c r="G425" s="267"/>
      <c r="H425" s="267"/>
      <c r="I425" s="267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>
      <c r="C426" s="267"/>
      <c r="D426" s="267"/>
      <c r="E426" s="267"/>
      <c r="F426" s="267"/>
      <c r="G426" s="267"/>
      <c r="H426" s="267"/>
      <c r="I426" s="267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>
      <c r="C428" s="267"/>
      <c r="D428" s="267"/>
      <c r="E428" s="267"/>
      <c r="F428" s="267"/>
      <c r="G428" s="267"/>
      <c r="H428" s="267"/>
      <c r="I428" s="267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>
      <c r="C429" s="267"/>
      <c r="D429" s="267"/>
      <c r="E429" s="267"/>
      <c r="F429" s="267"/>
      <c r="G429" s="267"/>
      <c r="H429" s="267"/>
      <c r="I429" s="267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>
      <c r="C430" s="267"/>
      <c r="D430" s="267"/>
      <c r="E430" s="267"/>
      <c r="F430" s="267"/>
      <c r="G430" s="267"/>
      <c r="H430" s="267"/>
      <c r="I430" s="267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>
      <c r="C431" s="267"/>
      <c r="D431" s="267"/>
      <c r="E431" s="267"/>
      <c r="F431" s="267"/>
      <c r="G431" s="267"/>
      <c r="H431" s="267"/>
      <c r="I431" s="267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>
      <c r="C432" s="267"/>
      <c r="D432" s="267"/>
      <c r="E432" s="267"/>
      <c r="F432" s="267"/>
      <c r="G432" s="267"/>
      <c r="H432" s="267"/>
      <c r="I432" s="267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>
      <c r="C433" s="267"/>
      <c r="D433" s="267"/>
      <c r="E433" s="267"/>
      <c r="F433" s="267"/>
      <c r="G433" s="267"/>
      <c r="H433" s="267"/>
      <c r="I433" s="267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>
      <c r="C434" s="267"/>
      <c r="D434" s="267"/>
      <c r="E434" s="267"/>
      <c r="F434" s="267"/>
      <c r="G434" s="267"/>
      <c r="H434" s="267"/>
      <c r="I434" s="267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>
      <c r="C435" s="267"/>
      <c r="D435" s="267"/>
      <c r="E435" s="267"/>
      <c r="F435" s="267"/>
      <c r="G435" s="267"/>
      <c r="H435" s="267"/>
      <c r="I435" s="267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>
      <c r="C436" s="267"/>
      <c r="D436" s="267"/>
      <c r="E436" s="267"/>
      <c r="F436" s="267"/>
      <c r="G436" s="267"/>
      <c r="H436" s="267"/>
      <c r="I436" s="267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>
      <c r="C437" s="267"/>
      <c r="D437" s="267"/>
      <c r="E437" s="267"/>
      <c r="F437" s="267"/>
      <c r="G437" s="267"/>
      <c r="H437" s="267"/>
      <c r="I437" s="267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>
      <c r="C438" s="267"/>
      <c r="D438" s="267"/>
      <c r="E438" s="267"/>
      <c r="F438" s="267"/>
      <c r="G438" s="267"/>
      <c r="H438" s="267"/>
      <c r="I438" s="267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>
      <c r="C439" s="267"/>
      <c r="D439" s="267"/>
      <c r="E439" s="267"/>
      <c r="F439" s="267"/>
      <c r="G439" s="267"/>
      <c r="H439" s="267"/>
      <c r="I439" s="267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>
      <c r="C440" s="267"/>
      <c r="D440" s="267"/>
      <c r="E440" s="267"/>
      <c r="F440" s="267"/>
      <c r="G440" s="267"/>
      <c r="H440" s="267"/>
      <c r="I440" s="267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>
      <c r="C441" s="267"/>
      <c r="D441" s="267"/>
      <c r="E441" s="267"/>
      <c r="F441" s="267"/>
      <c r="G441" s="267"/>
      <c r="H441" s="267"/>
      <c r="I441" s="267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>
      <c r="C442" s="267"/>
      <c r="D442" s="267"/>
      <c r="E442" s="267"/>
      <c r="F442" s="267"/>
      <c r="G442" s="267"/>
      <c r="H442" s="267"/>
      <c r="I442" s="267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>
      <c r="C443" s="267"/>
      <c r="D443" s="267"/>
      <c r="E443" s="267"/>
      <c r="F443" s="267"/>
      <c r="G443" s="267"/>
      <c r="H443" s="267"/>
      <c r="I443" s="267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>
      <c r="C444" s="267"/>
      <c r="D444" s="267"/>
      <c r="E444" s="267"/>
      <c r="F444" s="267"/>
      <c r="G444" s="267"/>
      <c r="H444" s="267"/>
      <c r="I444" s="267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>
      <c r="C445" s="267"/>
      <c r="D445" s="267"/>
      <c r="E445" s="267"/>
      <c r="F445" s="267"/>
      <c r="G445" s="267"/>
      <c r="H445" s="267"/>
      <c r="I445" s="267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>
      <c r="C446" s="267"/>
      <c r="D446" s="267"/>
      <c r="E446" s="267"/>
      <c r="F446" s="267"/>
      <c r="G446" s="267"/>
      <c r="H446" s="267"/>
      <c r="I446" s="267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>
      <c r="C447" s="267"/>
      <c r="D447" s="267"/>
      <c r="E447" s="267"/>
      <c r="F447" s="267"/>
      <c r="G447" s="267"/>
      <c r="H447" s="267"/>
      <c r="I447" s="267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>
      <c r="C448" s="267"/>
      <c r="D448" s="267"/>
      <c r="E448" s="267"/>
      <c r="F448" s="267"/>
      <c r="G448" s="267"/>
      <c r="H448" s="267"/>
      <c r="I448" s="267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>
      <c r="C449" s="267"/>
      <c r="D449" s="267"/>
      <c r="E449" s="267"/>
      <c r="F449" s="267"/>
      <c r="G449" s="267"/>
      <c r="H449" s="267"/>
      <c r="I449" s="267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>
      <c r="C450" s="267"/>
      <c r="D450" s="267"/>
      <c r="E450" s="267"/>
      <c r="F450" s="267"/>
      <c r="G450" s="267"/>
      <c r="H450" s="267"/>
      <c r="I450" s="267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>
      <c r="C451" s="267"/>
      <c r="D451" s="267"/>
      <c r="E451" s="267"/>
      <c r="F451" s="267"/>
      <c r="G451" s="267"/>
      <c r="H451" s="267"/>
      <c r="I451" s="267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>
      <c r="C452" s="267"/>
      <c r="D452" s="267"/>
      <c r="E452" s="267"/>
      <c r="F452" s="267"/>
      <c r="G452" s="267"/>
      <c r="H452" s="267"/>
      <c r="I452" s="267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>
      <c r="C453" s="267"/>
      <c r="D453" s="267"/>
      <c r="E453" s="267"/>
      <c r="F453" s="267"/>
      <c r="G453" s="267"/>
      <c r="H453" s="267"/>
      <c r="I453" s="267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>
      <c r="C454" s="267"/>
      <c r="D454" s="267"/>
      <c r="E454" s="267"/>
      <c r="F454" s="267"/>
      <c r="G454" s="267"/>
      <c r="H454" s="267"/>
      <c r="I454" s="267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>
      <c r="C455" s="267"/>
      <c r="D455" s="267"/>
      <c r="E455" s="267"/>
      <c r="F455" s="267"/>
      <c r="G455" s="267"/>
      <c r="H455" s="267"/>
      <c r="I455" s="267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>
      <c r="C456" s="267"/>
      <c r="D456" s="267"/>
      <c r="E456" s="267"/>
      <c r="F456" s="267"/>
      <c r="G456" s="267"/>
      <c r="H456" s="267"/>
      <c r="I456" s="267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>
      <c r="C457" s="267"/>
      <c r="D457" s="267"/>
      <c r="E457" s="267"/>
      <c r="F457" s="267"/>
      <c r="G457" s="267"/>
      <c r="H457" s="267"/>
      <c r="I457" s="267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>
      <c r="C458" s="267"/>
      <c r="D458" s="267"/>
      <c r="E458" s="267"/>
      <c r="F458" s="267"/>
      <c r="G458" s="267"/>
      <c r="H458" s="267"/>
      <c r="I458" s="267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>
      <c r="C459" s="267"/>
      <c r="D459" s="267"/>
      <c r="E459" s="267"/>
      <c r="F459" s="267"/>
      <c r="G459" s="267"/>
      <c r="H459" s="267"/>
      <c r="I459" s="267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>
      <c r="C460" s="267"/>
      <c r="D460" s="267"/>
      <c r="E460" s="267"/>
      <c r="F460" s="267"/>
      <c r="G460" s="267"/>
      <c r="H460" s="267"/>
      <c r="I460" s="267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>
      <c r="C461" s="267"/>
      <c r="D461" s="267"/>
      <c r="E461" s="267"/>
      <c r="F461" s="267"/>
      <c r="G461" s="267"/>
      <c r="H461" s="267"/>
      <c r="I461" s="267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>
      <c r="C462" s="267"/>
      <c r="D462" s="267"/>
      <c r="E462" s="267"/>
      <c r="F462" s="267"/>
      <c r="G462" s="267"/>
      <c r="H462" s="267"/>
      <c r="I462" s="267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>
      <c r="C463" s="267"/>
      <c r="D463" s="267"/>
      <c r="E463" s="267"/>
      <c r="F463" s="267"/>
      <c r="G463" s="267"/>
      <c r="H463" s="267"/>
      <c r="I463" s="267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>
      <c r="C464" s="267"/>
      <c r="D464" s="267"/>
      <c r="E464" s="267"/>
      <c r="F464" s="267"/>
      <c r="G464" s="267"/>
      <c r="H464" s="267"/>
      <c r="I464" s="267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>
      <c r="C465" s="267"/>
      <c r="D465" s="267"/>
      <c r="E465" s="267"/>
      <c r="F465" s="267"/>
      <c r="G465" s="267"/>
      <c r="H465" s="267"/>
      <c r="I465" s="267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>
      <c r="C466" s="267"/>
      <c r="D466" s="267"/>
      <c r="E466" s="267"/>
      <c r="F466" s="267"/>
      <c r="G466" s="267"/>
      <c r="H466" s="267"/>
      <c r="I466" s="267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>
      <c r="C467" s="267"/>
      <c r="D467" s="267"/>
      <c r="E467" s="267"/>
      <c r="F467" s="267"/>
      <c r="G467" s="267"/>
      <c r="H467" s="267"/>
      <c r="I467" s="267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>
      <c r="C468" s="267"/>
      <c r="D468" s="267"/>
      <c r="E468" s="267"/>
      <c r="F468" s="267"/>
      <c r="G468" s="267"/>
      <c r="H468" s="267"/>
      <c r="I468" s="267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>
      <c r="C469" s="267"/>
      <c r="D469" s="267"/>
      <c r="E469" s="267"/>
      <c r="F469" s="267"/>
      <c r="G469" s="267"/>
      <c r="H469" s="267"/>
      <c r="I469" s="267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>
      <c r="C470" s="267"/>
      <c r="D470" s="267"/>
      <c r="E470" s="267"/>
      <c r="F470" s="267"/>
      <c r="G470" s="267"/>
      <c r="H470" s="267"/>
      <c r="I470" s="267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>
      <c r="C471" s="267"/>
      <c r="D471" s="267"/>
      <c r="E471" s="267"/>
      <c r="F471" s="267"/>
      <c r="G471" s="267"/>
      <c r="H471" s="267"/>
      <c r="I471" s="267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>
      <c r="C472" s="267"/>
      <c r="D472" s="267"/>
      <c r="E472" s="267"/>
      <c r="F472" s="267"/>
      <c r="G472" s="267"/>
      <c r="H472" s="267"/>
      <c r="I472" s="267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>
      <c r="C473" s="267"/>
      <c r="D473" s="267"/>
      <c r="E473" s="267"/>
      <c r="F473" s="267"/>
      <c r="G473" s="267"/>
      <c r="H473" s="267"/>
      <c r="I473" s="267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>
      <c r="C474" s="267"/>
      <c r="D474" s="267"/>
      <c r="E474" s="267"/>
      <c r="F474" s="267"/>
      <c r="G474" s="267"/>
      <c r="H474" s="267"/>
      <c r="I474" s="267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>
      <c r="C475" s="267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>
      <c r="C476" s="267"/>
      <c r="D476" s="267"/>
      <c r="E476" s="267"/>
      <c r="F476" s="267"/>
      <c r="G476" s="267"/>
      <c r="H476" s="267"/>
      <c r="I476" s="267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>
      <c r="C477" s="267"/>
      <c r="D477" s="267"/>
      <c r="E477" s="267"/>
      <c r="F477" s="267"/>
      <c r="G477" s="267"/>
      <c r="H477" s="267"/>
      <c r="I477" s="267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>
      <c r="C478" s="267"/>
      <c r="D478" s="267"/>
      <c r="E478" s="267"/>
      <c r="F478" s="267"/>
      <c r="G478" s="267"/>
      <c r="H478" s="267"/>
      <c r="I478" s="267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>
      <c r="C479" s="267"/>
      <c r="D479" s="267"/>
      <c r="E479" s="267"/>
      <c r="F479" s="267"/>
      <c r="G479" s="267"/>
      <c r="H479" s="267"/>
      <c r="I479" s="267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>
      <c r="C480" s="267"/>
      <c r="D480" s="267"/>
      <c r="E480" s="267"/>
      <c r="F480" s="267"/>
      <c r="G480" s="267"/>
      <c r="H480" s="267"/>
      <c r="I480" s="267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>
      <c r="C481" s="267"/>
      <c r="D481" s="267"/>
      <c r="E481" s="267"/>
      <c r="F481" s="267"/>
      <c r="G481" s="267"/>
      <c r="H481" s="267"/>
      <c r="I481" s="267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>
      <c r="C482" s="267"/>
      <c r="D482" s="267"/>
      <c r="E482" s="267"/>
      <c r="F482" s="267"/>
      <c r="G482" s="267"/>
      <c r="H482" s="267"/>
      <c r="I482" s="267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>
      <c r="C483" s="267"/>
      <c r="D483" s="267"/>
      <c r="E483" s="267"/>
      <c r="F483" s="267"/>
      <c r="G483" s="267"/>
      <c r="H483" s="267"/>
      <c r="I483" s="267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>
      <c r="C484" s="267"/>
      <c r="D484" s="267"/>
      <c r="E484" s="267"/>
      <c r="F484" s="267"/>
      <c r="G484" s="267"/>
      <c r="H484" s="267"/>
      <c r="I484" s="267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>
      <c r="C485" s="267"/>
      <c r="D485" s="267"/>
      <c r="E485" s="267"/>
      <c r="F485" s="267"/>
      <c r="G485" s="267"/>
      <c r="H485" s="267"/>
      <c r="I485" s="267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>
      <c r="C486" s="267"/>
      <c r="D486" s="267"/>
      <c r="E486" s="267"/>
      <c r="F486" s="267"/>
      <c r="G486" s="267"/>
      <c r="H486" s="267"/>
      <c r="I486" s="267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>
      <c r="C487" s="267"/>
      <c r="D487" s="267"/>
      <c r="E487" s="267"/>
      <c r="F487" s="267"/>
      <c r="G487" s="267"/>
      <c r="H487" s="267"/>
      <c r="I487" s="267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>
      <c r="C488" s="267"/>
      <c r="D488" s="267"/>
      <c r="E488" s="267"/>
      <c r="F488" s="267"/>
      <c r="G488" s="267"/>
      <c r="H488" s="267"/>
      <c r="I488" s="267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>
      <c r="C489" s="267"/>
      <c r="D489" s="267"/>
      <c r="E489" s="267"/>
      <c r="F489" s="267"/>
      <c r="G489" s="267"/>
      <c r="H489" s="267"/>
      <c r="I489" s="267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>
      <c r="C490" s="267"/>
      <c r="D490" s="267"/>
      <c r="E490" s="267"/>
      <c r="F490" s="267"/>
      <c r="G490" s="267"/>
      <c r="H490" s="267"/>
      <c r="I490" s="267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>
      <c r="C491" s="267"/>
      <c r="D491" s="267"/>
      <c r="E491" s="267"/>
      <c r="F491" s="267"/>
      <c r="G491" s="267"/>
      <c r="H491" s="267"/>
      <c r="I491" s="267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>
      <c r="C492" s="267"/>
      <c r="D492" s="267"/>
      <c r="E492" s="267"/>
      <c r="F492" s="267"/>
      <c r="G492" s="267"/>
      <c r="H492" s="267"/>
      <c r="I492" s="267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>
      <c r="C493" s="267"/>
      <c r="D493" s="267"/>
      <c r="E493" s="267"/>
      <c r="F493" s="267"/>
      <c r="G493" s="267"/>
      <c r="H493" s="267"/>
      <c r="I493" s="267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>
      <c r="C494" s="267"/>
      <c r="D494" s="267"/>
      <c r="E494" s="267"/>
      <c r="F494" s="267"/>
      <c r="G494" s="267"/>
      <c r="H494" s="267"/>
      <c r="I494" s="267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>
      <c r="C495" s="267"/>
      <c r="D495" s="267"/>
      <c r="E495" s="267"/>
      <c r="F495" s="267"/>
      <c r="G495" s="267"/>
      <c r="H495" s="267"/>
      <c r="I495" s="267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>
      <c r="C496" s="267"/>
      <c r="D496" s="267"/>
      <c r="E496" s="267"/>
      <c r="F496" s="267"/>
      <c r="G496" s="267"/>
      <c r="H496" s="267"/>
      <c r="I496" s="267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>
      <c r="C497" s="267"/>
      <c r="D497" s="267"/>
      <c r="E497" s="267"/>
      <c r="F497" s="267"/>
      <c r="G497" s="267"/>
      <c r="H497" s="267"/>
      <c r="I497" s="267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>
      <c r="C498" s="267"/>
      <c r="D498" s="267"/>
      <c r="E498" s="267"/>
      <c r="F498" s="267"/>
      <c r="G498" s="267"/>
      <c r="H498" s="267"/>
      <c r="I498" s="267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>
      <c r="C499" s="267"/>
      <c r="D499" s="267"/>
      <c r="E499" s="267"/>
      <c r="F499" s="267"/>
      <c r="G499" s="267"/>
      <c r="H499" s="267"/>
      <c r="I499" s="267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>
      <c r="C500" s="267"/>
      <c r="D500" s="267"/>
      <c r="E500" s="267"/>
      <c r="F500" s="267"/>
      <c r="G500" s="267"/>
      <c r="H500" s="267"/>
      <c r="I500" s="267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>
      <c r="C501" s="267"/>
      <c r="D501" s="267"/>
      <c r="E501" s="267"/>
      <c r="F501" s="267"/>
      <c r="G501" s="267"/>
      <c r="H501" s="267"/>
      <c r="I501" s="267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>
      <c r="C502" s="267"/>
      <c r="D502" s="267"/>
      <c r="E502" s="267"/>
      <c r="F502" s="267"/>
      <c r="G502" s="267"/>
      <c r="H502" s="267"/>
      <c r="I502" s="267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>
      <c r="C503" s="267"/>
      <c r="D503" s="267"/>
      <c r="E503" s="267"/>
      <c r="F503" s="267"/>
      <c r="G503" s="267"/>
      <c r="H503" s="267"/>
      <c r="I503" s="267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>
      <c r="C504" s="267"/>
      <c r="D504" s="267"/>
      <c r="E504" s="267"/>
      <c r="F504" s="267"/>
      <c r="G504" s="267"/>
      <c r="H504" s="267"/>
      <c r="I504" s="267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>
      <c r="C505" s="267"/>
      <c r="D505" s="267"/>
      <c r="E505" s="267"/>
      <c r="F505" s="267"/>
      <c r="G505" s="267"/>
      <c r="H505" s="267"/>
      <c r="I505" s="267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>
      <c r="C506" s="267"/>
      <c r="D506" s="267"/>
      <c r="E506" s="267"/>
      <c r="F506" s="267"/>
      <c r="G506" s="267"/>
      <c r="H506" s="267"/>
      <c r="I506" s="267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>
      <c r="C507" s="267"/>
      <c r="D507" s="267"/>
      <c r="E507" s="267"/>
      <c r="F507" s="267"/>
      <c r="G507" s="267"/>
      <c r="H507" s="267"/>
      <c r="I507" s="267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>
      <c r="C508" s="267"/>
      <c r="D508" s="267"/>
      <c r="E508" s="267"/>
      <c r="F508" s="267"/>
      <c r="G508" s="267"/>
      <c r="H508" s="267"/>
      <c r="I508" s="267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>
      <c r="C509" s="267"/>
      <c r="D509" s="267"/>
      <c r="E509" s="267"/>
      <c r="F509" s="267"/>
      <c r="G509" s="267"/>
      <c r="H509" s="267"/>
      <c r="I509" s="267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>
      <c r="C510" s="267"/>
      <c r="D510" s="267"/>
      <c r="E510" s="267"/>
      <c r="F510" s="267"/>
      <c r="G510" s="267"/>
      <c r="H510" s="267"/>
      <c r="I510" s="267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>
      <c r="C511" s="267"/>
      <c r="D511" s="267"/>
      <c r="E511" s="267"/>
      <c r="F511" s="267"/>
      <c r="G511" s="267"/>
      <c r="H511" s="267"/>
      <c r="I511" s="267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>
      <c r="C512" s="267"/>
      <c r="D512" s="267"/>
      <c r="E512" s="267"/>
      <c r="F512" s="267"/>
      <c r="G512" s="267"/>
      <c r="H512" s="267"/>
      <c r="I512" s="267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>
      <c r="C513" s="267"/>
      <c r="D513" s="267"/>
      <c r="E513" s="267"/>
      <c r="F513" s="267"/>
      <c r="G513" s="267"/>
      <c r="H513" s="267"/>
      <c r="I513" s="267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>
      <c r="C514" s="267"/>
      <c r="D514" s="267"/>
      <c r="E514" s="267"/>
      <c r="F514" s="267"/>
      <c r="G514" s="267"/>
      <c r="H514" s="267"/>
      <c r="I514" s="267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>
      <c r="C515" s="267"/>
      <c r="D515" s="267"/>
      <c r="E515" s="267"/>
      <c r="F515" s="267"/>
      <c r="G515" s="267"/>
      <c r="H515" s="267"/>
      <c r="I515" s="267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>
      <c r="C516" s="267"/>
      <c r="D516" s="267"/>
      <c r="E516" s="267"/>
      <c r="F516" s="267"/>
      <c r="G516" s="267"/>
      <c r="H516" s="267"/>
      <c r="I516" s="267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>
      <c r="C517" s="267"/>
      <c r="D517" s="267"/>
      <c r="E517" s="267"/>
      <c r="F517" s="267"/>
      <c r="G517" s="267"/>
      <c r="H517" s="267"/>
      <c r="I517" s="267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>
      <c r="C518" s="267"/>
      <c r="D518" s="267"/>
      <c r="E518" s="267"/>
      <c r="F518" s="267"/>
      <c r="G518" s="267"/>
      <c r="H518" s="267"/>
      <c r="I518" s="267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>
      <c r="C519" s="267"/>
      <c r="D519" s="267"/>
      <c r="E519" s="267"/>
      <c r="F519" s="267"/>
      <c r="G519" s="267"/>
      <c r="H519" s="267"/>
      <c r="I519" s="267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>
      <c r="C520" s="267"/>
      <c r="D520" s="267"/>
      <c r="E520" s="267"/>
      <c r="F520" s="267"/>
      <c r="G520" s="267"/>
      <c r="H520" s="267"/>
      <c r="I520" s="267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>
      <c r="C521" s="267"/>
      <c r="D521" s="267"/>
      <c r="E521" s="267"/>
      <c r="F521" s="267"/>
      <c r="G521" s="267"/>
      <c r="H521" s="267"/>
      <c r="I521" s="267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>
      <c r="C522" s="267"/>
      <c r="D522" s="267"/>
      <c r="E522" s="267"/>
      <c r="F522" s="267"/>
      <c r="G522" s="267"/>
      <c r="H522" s="267"/>
      <c r="I522" s="267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>
      <c r="C523" s="267"/>
      <c r="D523" s="267"/>
      <c r="E523" s="267"/>
      <c r="F523" s="267"/>
      <c r="G523" s="267"/>
      <c r="H523" s="267"/>
      <c r="I523" s="267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>
      <c r="C524" s="267"/>
      <c r="D524" s="267"/>
      <c r="E524" s="267"/>
      <c r="F524" s="267"/>
      <c r="G524" s="267"/>
      <c r="H524" s="267"/>
      <c r="I524" s="267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>
      <c r="C525" s="267"/>
      <c r="D525" s="267"/>
      <c r="E525" s="267"/>
      <c r="F525" s="267"/>
      <c r="G525" s="267"/>
      <c r="H525" s="267"/>
      <c r="I525" s="267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>
      <c r="C526" s="267"/>
      <c r="D526" s="267"/>
      <c r="E526" s="267"/>
      <c r="F526" s="267"/>
      <c r="G526" s="267"/>
      <c r="H526" s="267"/>
      <c r="I526" s="267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>
      <c r="C527" s="267"/>
      <c r="D527" s="267"/>
      <c r="E527" s="267"/>
      <c r="F527" s="267"/>
      <c r="G527" s="267"/>
      <c r="H527" s="267"/>
      <c r="I527" s="267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>
      <c r="C528" s="267"/>
      <c r="D528" s="267"/>
      <c r="E528" s="267"/>
      <c r="F528" s="267"/>
      <c r="G528" s="267"/>
      <c r="H528" s="267"/>
      <c r="I528" s="267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>
      <c r="C529" s="267"/>
      <c r="D529" s="267"/>
      <c r="E529" s="267"/>
      <c r="F529" s="267"/>
      <c r="G529" s="267"/>
      <c r="H529" s="267"/>
      <c r="I529" s="267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>
      <c r="C530" s="267"/>
      <c r="D530" s="267"/>
      <c r="E530" s="267"/>
      <c r="F530" s="267"/>
      <c r="G530" s="267"/>
      <c r="H530" s="267"/>
      <c r="I530" s="267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>
      <c r="C531" s="267"/>
      <c r="D531" s="267"/>
      <c r="E531" s="267"/>
      <c r="F531" s="267"/>
      <c r="G531" s="267"/>
      <c r="H531" s="267"/>
      <c r="I531" s="267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>
      <c r="C532" s="267"/>
      <c r="D532" s="267"/>
      <c r="E532" s="267"/>
      <c r="F532" s="267"/>
      <c r="G532" s="267"/>
      <c r="H532" s="267"/>
      <c r="I532" s="267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>
      <c r="C533" s="267"/>
      <c r="D533" s="267"/>
      <c r="E533" s="267"/>
      <c r="F533" s="267"/>
      <c r="G533" s="267"/>
      <c r="H533" s="267"/>
      <c r="I533" s="267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>
      <c r="C534" s="267"/>
      <c r="D534" s="267"/>
      <c r="E534" s="267"/>
      <c r="F534" s="267"/>
      <c r="G534" s="267"/>
      <c r="H534" s="267"/>
      <c r="I534" s="267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>
      <c r="C535" s="267"/>
      <c r="D535" s="267"/>
      <c r="E535" s="267"/>
      <c r="F535" s="267"/>
      <c r="G535" s="267"/>
      <c r="H535" s="267"/>
      <c r="I535" s="267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>
      <c r="C536" s="267"/>
      <c r="D536" s="267"/>
      <c r="E536" s="267"/>
      <c r="F536" s="267"/>
      <c r="G536" s="267"/>
      <c r="H536" s="267"/>
      <c r="I536" s="267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>
      <c r="C537" s="267"/>
      <c r="D537" s="267"/>
      <c r="E537" s="267"/>
      <c r="F537" s="267"/>
      <c r="G537" s="267"/>
      <c r="H537" s="267"/>
      <c r="I537" s="267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>
      <c r="C538" s="267"/>
      <c r="D538" s="267"/>
      <c r="E538" s="267"/>
      <c r="F538" s="267"/>
      <c r="G538" s="267"/>
      <c r="H538" s="267"/>
      <c r="I538" s="267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>
      <c r="C539" s="267"/>
      <c r="D539" s="267"/>
      <c r="E539" s="267"/>
      <c r="F539" s="267"/>
      <c r="G539" s="267"/>
      <c r="H539" s="267"/>
      <c r="I539" s="267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>
      <c r="C540" s="267"/>
      <c r="D540" s="267"/>
      <c r="E540" s="267"/>
      <c r="F540" s="267"/>
      <c r="G540" s="267"/>
      <c r="H540" s="267"/>
      <c r="I540" s="267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>
      <c r="C541" s="267"/>
      <c r="D541" s="267"/>
      <c r="E541" s="267"/>
      <c r="F541" s="267"/>
      <c r="G541" s="267"/>
      <c r="H541" s="267"/>
      <c r="I541" s="267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>
      <c r="C542" s="267"/>
      <c r="D542" s="267"/>
      <c r="E542" s="267"/>
      <c r="F542" s="267"/>
      <c r="G542" s="267"/>
      <c r="H542" s="267"/>
      <c r="I542" s="267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>
      <c r="C543" s="267"/>
      <c r="D543" s="267"/>
      <c r="E543" s="267"/>
      <c r="F543" s="267"/>
      <c r="G543" s="267"/>
      <c r="H543" s="267"/>
      <c r="I543" s="267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>
      <c r="C544" s="267"/>
      <c r="D544" s="267"/>
      <c r="E544" s="267"/>
      <c r="F544" s="267"/>
      <c r="G544" s="267"/>
      <c r="H544" s="267"/>
      <c r="I544" s="267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>
      <c r="C545" s="267"/>
      <c r="D545" s="267"/>
      <c r="E545" s="267"/>
      <c r="F545" s="267"/>
      <c r="G545" s="267"/>
      <c r="H545" s="267"/>
      <c r="I545" s="267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>
      <c r="C546" s="267"/>
      <c r="D546" s="267"/>
      <c r="E546" s="267"/>
      <c r="F546" s="267"/>
      <c r="G546" s="267"/>
      <c r="H546" s="267"/>
      <c r="I546" s="267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>
      <c r="C547" s="267"/>
      <c r="D547" s="267"/>
      <c r="E547" s="267"/>
      <c r="F547" s="267"/>
      <c r="G547" s="267"/>
      <c r="H547" s="267"/>
      <c r="I547" s="267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>
      <c r="C548" s="267"/>
      <c r="D548" s="267"/>
      <c r="E548" s="267"/>
      <c r="F548" s="267"/>
      <c r="G548" s="267"/>
      <c r="H548" s="267"/>
      <c r="I548" s="267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>
      <c r="C549" s="267"/>
      <c r="D549" s="267"/>
      <c r="E549" s="267"/>
      <c r="F549" s="267"/>
      <c r="G549" s="267"/>
      <c r="H549" s="267"/>
      <c r="I549" s="267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>
      <c r="C550" s="267"/>
      <c r="D550" s="267"/>
      <c r="E550" s="267"/>
      <c r="F550" s="267"/>
      <c r="G550" s="267"/>
      <c r="H550" s="267"/>
      <c r="I550" s="267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>
      <c r="C551" s="267"/>
      <c r="D551" s="267"/>
      <c r="E551" s="267"/>
      <c r="F551" s="267"/>
      <c r="G551" s="267"/>
      <c r="H551" s="267"/>
      <c r="I551" s="267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>
      <c r="C552" s="267"/>
      <c r="D552" s="267"/>
      <c r="E552" s="267"/>
      <c r="F552" s="267"/>
      <c r="G552" s="267"/>
      <c r="H552" s="267"/>
      <c r="I552" s="267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>
      <c r="C553" s="267"/>
      <c r="D553" s="267"/>
      <c r="E553" s="267"/>
      <c r="F553" s="267"/>
      <c r="G553" s="267"/>
      <c r="H553" s="267"/>
      <c r="I553" s="267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>
      <c r="C554" s="267"/>
      <c r="D554" s="267"/>
      <c r="E554" s="267"/>
      <c r="F554" s="267"/>
      <c r="G554" s="267"/>
      <c r="H554" s="267"/>
      <c r="I554" s="267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>
      <c r="C555" s="267"/>
      <c r="D555" s="267"/>
      <c r="E555" s="267"/>
      <c r="F555" s="267"/>
      <c r="G555" s="267"/>
      <c r="H555" s="267"/>
      <c r="I555" s="267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>
      <c r="C556" s="267"/>
      <c r="D556" s="267"/>
      <c r="E556" s="267"/>
      <c r="F556" s="267"/>
      <c r="G556" s="267"/>
      <c r="H556" s="267"/>
      <c r="I556" s="267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>
      <c r="C557" s="267"/>
      <c r="D557" s="267"/>
      <c r="E557" s="267"/>
      <c r="F557" s="267"/>
      <c r="G557" s="267"/>
      <c r="H557" s="267"/>
      <c r="I557" s="267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>
      <c r="C558" s="267"/>
      <c r="D558" s="267"/>
      <c r="E558" s="267"/>
      <c r="F558" s="267"/>
      <c r="G558" s="267"/>
      <c r="H558" s="267"/>
      <c r="I558" s="267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>
      <c r="C559" s="267"/>
      <c r="D559" s="267"/>
      <c r="E559" s="267"/>
      <c r="F559" s="267"/>
      <c r="G559" s="267"/>
      <c r="H559" s="267"/>
      <c r="I559" s="267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>
      <c r="C560" s="267"/>
      <c r="D560" s="267"/>
      <c r="E560" s="267"/>
      <c r="F560" s="267"/>
      <c r="G560" s="267"/>
      <c r="H560" s="267"/>
      <c r="I560" s="267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>
      <c r="C561" s="267"/>
      <c r="D561" s="267"/>
      <c r="E561" s="267"/>
      <c r="F561" s="267"/>
      <c r="G561" s="267"/>
      <c r="H561" s="267"/>
      <c r="I561" s="267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>
      <c r="C562" s="267"/>
      <c r="D562" s="267"/>
      <c r="E562" s="267"/>
      <c r="F562" s="267"/>
      <c r="G562" s="267"/>
      <c r="H562" s="267"/>
      <c r="I562" s="267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>
      <c r="C563" s="267"/>
      <c r="D563" s="267"/>
      <c r="E563" s="267"/>
      <c r="F563" s="267"/>
      <c r="G563" s="267"/>
      <c r="H563" s="267"/>
      <c r="I563" s="267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>
      <c r="C564" s="267"/>
      <c r="D564" s="267"/>
      <c r="E564" s="267"/>
      <c r="F564" s="267"/>
      <c r="G564" s="267"/>
      <c r="H564" s="267"/>
      <c r="I564" s="267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>
      <c r="C565" s="267"/>
      <c r="D565" s="267"/>
      <c r="E565" s="267"/>
      <c r="F565" s="267"/>
      <c r="G565" s="267"/>
      <c r="H565" s="267"/>
      <c r="I565" s="267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>
      <c r="C566" s="267"/>
      <c r="D566" s="267"/>
      <c r="E566" s="267"/>
      <c r="F566" s="267"/>
      <c r="G566" s="267"/>
      <c r="H566" s="267"/>
      <c r="I566" s="267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>
      <c r="C567" s="267"/>
      <c r="D567" s="267"/>
      <c r="E567" s="267"/>
      <c r="F567" s="267"/>
      <c r="G567" s="267"/>
      <c r="H567" s="267"/>
      <c r="I567" s="267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>
      <c r="C568" s="267"/>
      <c r="D568" s="267"/>
      <c r="E568" s="267"/>
      <c r="F568" s="267"/>
      <c r="G568" s="267"/>
      <c r="H568" s="267"/>
      <c r="I568" s="267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>
      <c r="C569" s="267"/>
      <c r="D569" s="267"/>
      <c r="E569" s="267"/>
      <c r="F569" s="267"/>
      <c r="G569" s="267"/>
      <c r="H569" s="267"/>
      <c r="I569" s="267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>
      <c r="C570" s="267"/>
      <c r="D570" s="267"/>
      <c r="E570" s="267"/>
      <c r="F570" s="267"/>
      <c r="G570" s="267"/>
      <c r="H570" s="267"/>
      <c r="I570" s="267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>
      <c r="C571" s="267"/>
      <c r="D571" s="267"/>
      <c r="E571" s="267"/>
      <c r="F571" s="267"/>
      <c r="G571" s="267"/>
      <c r="H571" s="267"/>
      <c r="I571" s="267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>
      <c r="C572" s="267"/>
      <c r="D572" s="267"/>
      <c r="E572" s="267"/>
      <c r="F572" s="267"/>
      <c r="G572" s="267"/>
      <c r="H572" s="267"/>
      <c r="I572" s="267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>
      <c r="C573" s="267"/>
      <c r="D573" s="267"/>
      <c r="E573" s="267"/>
      <c r="F573" s="267"/>
      <c r="G573" s="267"/>
      <c r="H573" s="267"/>
      <c r="I573" s="267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>
      <c r="C574" s="267"/>
      <c r="D574" s="267"/>
      <c r="E574" s="267"/>
      <c r="F574" s="267"/>
      <c r="G574" s="267"/>
      <c r="H574" s="267"/>
      <c r="I574" s="267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>
      <c r="C575" s="267"/>
      <c r="D575" s="267"/>
      <c r="E575" s="267"/>
      <c r="F575" s="267"/>
      <c r="G575" s="267"/>
      <c r="H575" s="267"/>
      <c r="I575" s="267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>
      <c r="C576" s="267"/>
      <c r="D576" s="267"/>
      <c r="E576" s="267"/>
      <c r="F576" s="267"/>
      <c r="G576" s="267"/>
      <c r="H576" s="267"/>
      <c r="I576" s="267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>
      <c r="C577" s="267"/>
      <c r="D577" s="267"/>
      <c r="E577" s="267"/>
      <c r="F577" s="267"/>
      <c r="G577" s="267"/>
      <c r="H577" s="267"/>
      <c r="I577" s="267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>
      <c r="C578" s="267"/>
      <c r="D578" s="267"/>
      <c r="E578" s="267"/>
      <c r="F578" s="267"/>
      <c r="G578" s="267"/>
      <c r="H578" s="267"/>
      <c r="I578" s="267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>
      <c r="C579" s="267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>
      <c r="C580" s="267"/>
      <c r="D580" s="267"/>
      <c r="E580" s="267"/>
      <c r="F580" s="267"/>
      <c r="G580" s="267"/>
      <c r="H580" s="267"/>
      <c r="I580" s="267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>
      <c r="C581" s="267"/>
      <c r="D581" s="267"/>
      <c r="E581" s="267"/>
      <c r="F581" s="267"/>
      <c r="G581" s="267"/>
      <c r="H581" s="267"/>
      <c r="I581" s="267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>
      <c r="C582" s="267"/>
      <c r="D582" s="267"/>
      <c r="E582" s="267"/>
      <c r="F582" s="267"/>
      <c r="G582" s="267"/>
      <c r="H582" s="267"/>
      <c r="I582" s="267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>
      <c r="C583" s="267"/>
      <c r="D583" s="267"/>
      <c r="E583" s="267"/>
      <c r="F583" s="267"/>
      <c r="G583" s="267"/>
      <c r="H583" s="267"/>
      <c r="I583" s="267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>
      <c r="C584" s="267"/>
      <c r="D584" s="267"/>
      <c r="E584" s="267"/>
      <c r="F584" s="267"/>
      <c r="G584" s="267"/>
      <c r="H584" s="267"/>
      <c r="I584" s="267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>
      <c r="C585" s="267"/>
      <c r="D585" s="267"/>
      <c r="E585" s="267"/>
      <c r="F585" s="267"/>
      <c r="G585" s="267"/>
      <c r="H585" s="267"/>
      <c r="I585" s="267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>
      <c r="C586" s="267"/>
      <c r="D586" s="267"/>
      <c r="E586" s="267"/>
      <c r="F586" s="267"/>
      <c r="G586" s="267"/>
      <c r="H586" s="267"/>
      <c r="I586" s="267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>
      <c r="C587" s="267"/>
      <c r="D587" s="267"/>
      <c r="E587" s="267"/>
      <c r="F587" s="267"/>
      <c r="G587" s="267"/>
      <c r="H587" s="267"/>
      <c r="I587" s="267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>
      <c r="C588" s="267"/>
      <c r="D588" s="267"/>
      <c r="E588" s="267"/>
      <c r="F588" s="267"/>
      <c r="G588" s="267"/>
      <c r="H588" s="267"/>
      <c r="I588" s="267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>
      <c r="C589" s="267"/>
      <c r="D589" s="267"/>
      <c r="E589" s="267"/>
      <c r="F589" s="267"/>
      <c r="G589" s="267"/>
      <c r="H589" s="267"/>
      <c r="I589" s="267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>
      <c r="C590" s="267"/>
      <c r="D590" s="267"/>
      <c r="E590" s="267"/>
      <c r="F590" s="267"/>
      <c r="G590" s="267"/>
      <c r="H590" s="267"/>
      <c r="I590" s="267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>
      <c r="C591" s="267"/>
      <c r="D591" s="267"/>
      <c r="E591" s="267"/>
      <c r="F591" s="267"/>
      <c r="G591" s="267"/>
      <c r="H591" s="267"/>
      <c r="I591" s="267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>
      <c r="C592" s="267"/>
      <c r="D592" s="267"/>
      <c r="E592" s="267"/>
      <c r="F592" s="267"/>
      <c r="G592" s="267"/>
      <c r="H592" s="267"/>
      <c r="I592" s="267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>
      <c r="C593" s="267"/>
      <c r="D593" s="267"/>
      <c r="E593" s="267"/>
      <c r="F593" s="267"/>
      <c r="G593" s="267"/>
      <c r="H593" s="267"/>
      <c r="I593" s="267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>
      <c r="C594" s="267"/>
      <c r="D594" s="267"/>
      <c r="E594" s="267"/>
      <c r="F594" s="267"/>
      <c r="G594" s="267"/>
      <c r="H594" s="267"/>
      <c r="I594" s="267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>
      <c r="C595" s="267"/>
      <c r="D595" s="267"/>
      <c r="E595" s="267"/>
      <c r="F595" s="267"/>
      <c r="G595" s="267"/>
      <c r="H595" s="267"/>
      <c r="I595" s="267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>
      <c r="C596" s="267"/>
      <c r="D596" s="267"/>
      <c r="E596" s="267"/>
      <c r="F596" s="267"/>
      <c r="G596" s="267"/>
      <c r="H596" s="267"/>
      <c r="I596" s="267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>
      <c r="C597" s="267"/>
      <c r="D597" s="267"/>
      <c r="E597" s="267"/>
      <c r="F597" s="267"/>
      <c r="G597" s="267"/>
      <c r="H597" s="267"/>
      <c r="I597" s="267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>
      <c r="C598" s="267"/>
      <c r="D598" s="267"/>
      <c r="E598" s="267"/>
      <c r="F598" s="267"/>
      <c r="G598" s="267"/>
      <c r="H598" s="267"/>
      <c r="I598" s="267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>
      <c r="C599" s="267"/>
      <c r="D599" s="267"/>
      <c r="E599" s="267"/>
      <c r="F599" s="267"/>
      <c r="G599" s="267"/>
      <c r="H599" s="267"/>
      <c r="I599" s="267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>
      <c r="C600" s="267"/>
      <c r="D600" s="267"/>
      <c r="E600" s="267"/>
      <c r="F600" s="267"/>
      <c r="G600" s="267"/>
      <c r="H600" s="267"/>
      <c r="I600" s="267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>
      <c r="C601" s="267"/>
      <c r="D601" s="267"/>
      <c r="E601" s="267"/>
      <c r="F601" s="267"/>
      <c r="G601" s="267"/>
      <c r="H601" s="267"/>
      <c r="I601" s="267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>
      <c r="C602" s="267"/>
      <c r="D602" s="267"/>
      <c r="E602" s="267"/>
      <c r="F602" s="267"/>
      <c r="G602" s="267"/>
      <c r="H602" s="267"/>
      <c r="I602" s="267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>
      <c r="C603" s="267"/>
      <c r="D603" s="267"/>
      <c r="E603" s="267"/>
      <c r="F603" s="267"/>
      <c r="G603" s="267"/>
      <c r="H603" s="267"/>
      <c r="I603" s="267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>
      <c r="C604" s="267"/>
      <c r="D604" s="267"/>
      <c r="E604" s="267"/>
      <c r="F604" s="267"/>
      <c r="G604" s="267"/>
      <c r="H604" s="267"/>
      <c r="I604" s="267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>
      <c r="C605" s="267"/>
      <c r="D605" s="267"/>
      <c r="E605" s="267"/>
      <c r="F605" s="267"/>
      <c r="G605" s="267"/>
      <c r="H605" s="267"/>
      <c r="I605" s="267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>
      <c r="C606" s="267"/>
      <c r="D606" s="267"/>
      <c r="E606" s="267"/>
      <c r="F606" s="267"/>
      <c r="G606" s="267"/>
      <c r="H606" s="267"/>
      <c r="I606" s="267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>
      <c r="C607" s="267"/>
      <c r="D607" s="267"/>
      <c r="E607" s="267"/>
      <c r="F607" s="267"/>
      <c r="G607" s="267"/>
      <c r="H607" s="267"/>
      <c r="I607" s="267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>
      <c r="C608" s="267"/>
      <c r="D608" s="267"/>
      <c r="E608" s="267"/>
      <c r="F608" s="267"/>
      <c r="G608" s="267"/>
      <c r="H608" s="267"/>
      <c r="I608" s="267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>
      <c r="C609" s="267"/>
      <c r="D609" s="267"/>
      <c r="E609" s="267"/>
      <c r="F609" s="267"/>
      <c r="G609" s="267"/>
      <c r="H609" s="267"/>
      <c r="I609" s="267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>
      <c r="C610" s="267"/>
      <c r="D610" s="267"/>
      <c r="E610" s="267"/>
      <c r="F610" s="267"/>
      <c r="G610" s="267"/>
      <c r="H610" s="267"/>
      <c r="I610" s="267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>
      <c r="C611" s="267"/>
      <c r="D611" s="267"/>
      <c r="E611" s="267"/>
      <c r="F611" s="267"/>
      <c r="G611" s="267"/>
      <c r="H611" s="267"/>
      <c r="I611" s="267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>
      <c r="C612" s="267"/>
      <c r="D612" s="267"/>
      <c r="E612" s="267"/>
      <c r="F612" s="267"/>
      <c r="G612" s="267"/>
      <c r="H612" s="267"/>
      <c r="I612" s="267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>
      <c r="C613" s="267"/>
      <c r="D613" s="267"/>
      <c r="E613" s="267"/>
      <c r="F613" s="267"/>
      <c r="G613" s="267"/>
      <c r="H613" s="267"/>
      <c r="I613" s="267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>
      <c r="C620" s="267"/>
      <c r="D620" s="267"/>
      <c r="E620" s="267"/>
      <c r="F620" s="267"/>
      <c r="G620" s="267"/>
      <c r="H620" s="267"/>
      <c r="I620" s="267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>
      <c r="C621" s="267"/>
      <c r="D621" s="267"/>
      <c r="E621" s="267"/>
      <c r="F621" s="267"/>
      <c r="G621" s="267"/>
      <c r="H621" s="267"/>
      <c r="I621" s="267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>
      <c r="C622" s="267"/>
      <c r="D622" s="267"/>
      <c r="E622" s="267"/>
      <c r="F622" s="267"/>
      <c r="G622" s="267"/>
      <c r="H622" s="267"/>
      <c r="I622" s="267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>
      <c r="C623" s="267"/>
      <c r="D623" s="267"/>
      <c r="E623" s="267"/>
      <c r="F623" s="267"/>
      <c r="G623" s="267"/>
      <c r="H623" s="267"/>
      <c r="I623" s="267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>
      <c r="C624" s="267"/>
      <c r="D624" s="267"/>
      <c r="E624" s="267"/>
      <c r="F624" s="267"/>
      <c r="G624" s="267"/>
      <c r="H624" s="267"/>
      <c r="I624" s="267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>
      <c r="C625" s="267"/>
      <c r="D625" s="267"/>
      <c r="E625" s="267"/>
      <c r="F625" s="267"/>
      <c r="G625" s="267"/>
      <c r="H625" s="267"/>
      <c r="I625" s="267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>
      <c r="C626" s="267"/>
      <c r="D626" s="267"/>
      <c r="E626" s="267"/>
      <c r="F626" s="267"/>
      <c r="G626" s="267"/>
      <c r="H626" s="267"/>
      <c r="I626" s="267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>
      <c r="C627" s="267"/>
      <c r="D627" s="267"/>
      <c r="E627" s="267"/>
      <c r="F627" s="267"/>
      <c r="G627" s="267"/>
      <c r="H627" s="267"/>
      <c r="I627" s="267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>
      <c r="C628" s="267"/>
      <c r="D628" s="267"/>
      <c r="E628" s="267"/>
      <c r="F628" s="267"/>
      <c r="G628" s="267"/>
      <c r="H628" s="267"/>
      <c r="I628" s="267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>
      <c r="C629" s="267"/>
      <c r="D629" s="267"/>
      <c r="E629" s="267"/>
      <c r="F629" s="267"/>
      <c r="G629" s="267"/>
      <c r="H629" s="267"/>
      <c r="I629" s="267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>
      <c r="C630" s="267"/>
      <c r="D630" s="267"/>
      <c r="E630" s="267"/>
      <c r="F630" s="267"/>
      <c r="G630" s="267"/>
      <c r="H630" s="267"/>
      <c r="I630" s="267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>
      <c r="C631" s="267"/>
      <c r="D631" s="267"/>
      <c r="E631" s="267"/>
      <c r="F631" s="267"/>
      <c r="G631" s="267"/>
      <c r="H631" s="267"/>
      <c r="I631" s="267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>
      <c r="C632" s="267"/>
      <c r="D632" s="267"/>
      <c r="E632" s="267"/>
      <c r="F632" s="267"/>
      <c r="G632" s="267"/>
      <c r="H632" s="267"/>
      <c r="I632" s="267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>
      <c r="C633" s="267"/>
      <c r="D633" s="267"/>
      <c r="E633" s="267"/>
      <c r="F633" s="267"/>
      <c r="G633" s="267"/>
      <c r="H633" s="267"/>
      <c r="I633" s="267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>
      <c r="C634" s="267"/>
      <c r="D634" s="267"/>
      <c r="E634" s="267"/>
      <c r="F634" s="267"/>
      <c r="G634" s="267"/>
      <c r="H634" s="267"/>
      <c r="I634" s="267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>
      <c r="C635" s="267"/>
      <c r="D635" s="267"/>
      <c r="E635" s="267"/>
      <c r="F635" s="267"/>
      <c r="G635" s="267"/>
      <c r="H635" s="267"/>
      <c r="I635" s="267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>
      <c r="C636" s="267"/>
      <c r="D636" s="267"/>
      <c r="E636" s="267"/>
      <c r="F636" s="267"/>
      <c r="G636" s="267"/>
      <c r="H636" s="267"/>
      <c r="I636" s="267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>
      <c r="C637" s="267"/>
      <c r="D637" s="267"/>
      <c r="E637" s="267"/>
      <c r="F637" s="267"/>
      <c r="G637" s="267"/>
      <c r="H637" s="267"/>
      <c r="I637" s="267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>
      <c r="C638" s="267"/>
      <c r="D638" s="267"/>
      <c r="E638" s="267"/>
      <c r="F638" s="267"/>
      <c r="G638" s="267"/>
      <c r="H638" s="267"/>
      <c r="I638" s="267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>
      <c r="C639" s="267"/>
      <c r="D639" s="267"/>
      <c r="E639" s="267"/>
      <c r="F639" s="267"/>
      <c r="G639" s="267"/>
      <c r="H639" s="267"/>
      <c r="I639" s="267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>
      <c r="C640" s="267"/>
      <c r="D640" s="267"/>
      <c r="E640" s="267"/>
      <c r="F640" s="267"/>
      <c r="G640" s="267"/>
      <c r="H640" s="267"/>
      <c r="I640" s="267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>
      <c r="C641" s="267"/>
      <c r="D641" s="267"/>
      <c r="E641" s="267"/>
      <c r="F641" s="267"/>
      <c r="G641" s="267"/>
      <c r="H641" s="267"/>
      <c r="I641" s="267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>
      <c r="C642" s="267"/>
      <c r="D642" s="267"/>
      <c r="E642" s="267"/>
      <c r="F642" s="267"/>
      <c r="G642" s="267"/>
      <c r="H642" s="267"/>
      <c r="I642" s="267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>
      <c r="C643" s="267"/>
      <c r="D643" s="267"/>
      <c r="E643" s="267"/>
      <c r="F643" s="267"/>
      <c r="G643" s="267"/>
      <c r="H643" s="267"/>
      <c r="I643" s="267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>
      <c r="C644" s="267"/>
      <c r="D644" s="267"/>
      <c r="E644" s="267"/>
      <c r="F644" s="267"/>
      <c r="G644" s="267"/>
      <c r="H644" s="267"/>
      <c r="I644" s="267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>
      <c r="C645" s="267"/>
      <c r="D645" s="267"/>
      <c r="E645" s="267"/>
      <c r="F645" s="267"/>
      <c r="G645" s="267"/>
      <c r="H645" s="267"/>
      <c r="I645" s="267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>
      <c r="C646" s="267"/>
      <c r="D646" s="267"/>
      <c r="E646" s="267"/>
      <c r="F646" s="267"/>
      <c r="G646" s="267"/>
      <c r="H646" s="267"/>
      <c r="I646" s="267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>
      <c r="C647" s="267"/>
      <c r="D647" s="267"/>
      <c r="E647" s="267"/>
      <c r="F647" s="267"/>
      <c r="G647" s="267"/>
      <c r="H647" s="267"/>
      <c r="I647" s="267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>
      <c r="C648" s="267"/>
      <c r="D648" s="267"/>
      <c r="E648" s="267"/>
      <c r="F648" s="267"/>
      <c r="G648" s="267"/>
      <c r="H648" s="267"/>
      <c r="I648" s="267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>
      <c r="C649" s="267"/>
      <c r="D649" s="267"/>
      <c r="E649" s="267"/>
      <c r="F649" s="267"/>
      <c r="G649" s="267"/>
      <c r="H649" s="267"/>
      <c r="I649" s="267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>
      <c r="C650" s="267"/>
      <c r="D650" s="267"/>
      <c r="E650" s="267"/>
      <c r="F650" s="267"/>
      <c r="G650" s="267"/>
      <c r="H650" s="267"/>
      <c r="I650" s="267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>
      <c r="C651" s="267"/>
      <c r="D651" s="267"/>
      <c r="E651" s="267"/>
      <c r="F651" s="267"/>
      <c r="G651" s="267"/>
      <c r="H651" s="267"/>
      <c r="I651" s="267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>
      <c r="C652" s="267"/>
      <c r="D652" s="267"/>
      <c r="E652" s="267"/>
      <c r="F652" s="267"/>
      <c r="G652" s="267"/>
      <c r="H652" s="267"/>
      <c r="I652" s="267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>
      <c r="C653" s="267"/>
      <c r="D653" s="267"/>
      <c r="E653" s="267"/>
      <c r="F653" s="267"/>
      <c r="G653" s="267"/>
      <c r="H653" s="267"/>
      <c r="I653" s="267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>
      <c r="C654" s="267"/>
      <c r="D654" s="267"/>
      <c r="E654" s="267"/>
      <c r="F654" s="267"/>
      <c r="G654" s="267"/>
      <c r="H654" s="267"/>
      <c r="I654" s="267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>
      <c r="C655" s="267"/>
      <c r="D655" s="267"/>
      <c r="E655" s="267"/>
      <c r="F655" s="267"/>
      <c r="G655" s="267"/>
      <c r="H655" s="267"/>
      <c r="I655" s="267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>
      <c r="C656" s="267"/>
      <c r="D656" s="267"/>
      <c r="E656" s="267"/>
      <c r="F656" s="267"/>
      <c r="G656" s="267"/>
      <c r="H656" s="267"/>
      <c r="I656" s="267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>
      <c r="C657" s="267"/>
      <c r="D657" s="267"/>
      <c r="E657" s="267"/>
      <c r="F657" s="267"/>
      <c r="G657" s="267"/>
      <c r="H657" s="267"/>
      <c r="I657" s="267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>
      <c r="C658" s="267"/>
      <c r="D658" s="267"/>
      <c r="E658" s="267"/>
      <c r="F658" s="267"/>
      <c r="G658" s="267"/>
      <c r="H658" s="267"/>
      <c r="I658" s="267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>
      <c r="C659" s="267"/>
      <c r="D659" s="267"/>
      <c r="E659" s="267"/>
      <c r="F659" s="267"/>
      <c r="G659" s="267"/>
      <c r="H659" s="267"/>
      <c r="I659" s="267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>
      <c r="C660" s="267"/>
      <c r="D660" s="267"/>
      <c r="E660" s="267"/>
      <c r="F660" s="267"/>
      <c r="G660" s="267"/>
      <c r="H660" s="267"/>
      <c r="I660" s="267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>
      <c r="C661" s="267"/>
      <c r="D661" s="267"/>
      <c r="E661" s="267"/>
      <c r="F661" s="267"/>
      <c r="G661" s="267"/>
      <c r="H661" s="267"/>
      <c r="I661" s="267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>
      <c r="C662" s="267"/>
      <c r="D662" s="267"/>
      <c r="E662" s="267"/>
      <c r="F662" s="267"/>
      <c r="G662" s="267"/>
      <c r="H662" s="267"/>
      <c r="I662" s="267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>
      <c r="C663" s="267"/>
      <c r="D663" s="267"/>
      <c r="E663" s="267"/>
      <c r="F663" s="267"/>
      <c r="G663" s="267"/>
      <c r="H663" s="267"/>
      <c r="I663" s="267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>
      <c r="C664" s="267"/>
      <c r="D664" s="267"/>
      <c r="E664" s="267"/>
      <c r="F664" s="267"/>
      <c r="G664" s="267"/>
      <c r="H664" s="267"/>
      <c r="I664" s="267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>
      <c r="C665" s="267"/>
      <c r="D665" s="267"/>
      <c r="E665" s="267"/>
      <c r="F665" s="267"/>
      <c r="G665" s="267"/>
      <c r="H665" s="267"/>
      <c r="I665" s="267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>
      <c r="C666" s="267"/>
      <c r="D666" s="267"/>
      <c r="E666" s="267"/>
      <c r="F666" s="267"/>
      <c r="G666" s="267"/>
      <c r="H666" s="267"/>
      <c r="I666" s="267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>
      <c r="C667" s="267"/>
      <c r="D667" s="267"/>
      <c r="E667" s="267"/>
      <c r="F667" s="267"/>
      <c r="G667" s="267"/>
      <c r="H667" s="267"/>
      <c r="I667" s="267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>
      <c r="C668" s="267"/>
      <c r="D668" s="267"/>
      <c r="E668" s="267"/>
      <c r="F668" s="267"/>
      <c r="G668" s="267"/>
      <c r="H668" s="267"/>
      <c r="I668" s="267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>
      <c r="C669" s="267"/>
      <c r="D669" s="267"/>
      <c r="E669" s="267"/>
      <c r="F669" s="267"/>
      <c r="G669" s="267"/>
      <c r="H669" s="267"/>
      <c r="I669" s="267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>
      <c r="C670" s="267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>
      <c r="C671" s="267"/>
      <c r="D671" s="267"/>
      <c r="E671" s="267"/>
      <c r="F671" s="267"/>
      <c r="G671" s="267"/>
      <c r="H671" s="267"/>
      <c r="I671" s="267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>
      <c r="C672" s="267"/>
      <c r="D672" s="267"/>
      <c r="E672" s="267"/>
      <c r="F672" s="267"/>
      <c r="G672" s="267"/>
      <c r="H672" s="267"/>
      <c r="I672" s="267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>
      <c r="C673" s="267"/>
      <c r="D673" s="267"/>
      <c r="E673" s="267"/>
      <c r="F673" s="267"/>
      <c r="G673" s="267"/>
      <c r="H673" s="267"/>
      <c r="I673" s="267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>
      <c r="C674" s="267"/>
      <c r="D674" s="267"/>
      <c r="E674" s="267"/>
      <c r="F674" s="267"/>
      <c r="G674" s="267"/>
      <c r="H674" s="267"/>
      <c r="I674" s="267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>
      <c r="C675" s="267"/>
      <c r="D675" s="267"/>
      <c r="E675" s="267"/>
      <c r="F675" s="267"/>
      <c r="G675" s="267"/>
      <c r="H675" s="267"/>
      <c r="I675" s="267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>
      <c r="C676" s="267"/>
      <c r="D676" s="267"/>
      <c r="E676" s="267"/>
      <c r="F676" s="267"/>
      <c r="G676" s="267"/>
      <c r="H676" s="267"/>
      <c r="I676" s="267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>
      <c r="C677" s="267"/>
      <c r="D677" s="267"/>
      <c r="E677" s="267"/>
      <c r="F677" s="267"/>
      <c r="G677" s="267"/>
      <c r="H677" s="267"/>
      <c r="I677" s="267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>
      <c r="C678" s="267"/>
      <c r="D678" s="267"/>
      <c r="E678" s="267"/>
      <c r="F678" s="267"/>
      <c r="G678" s="267"/>
      <c r="H678" s="267"/>
      <c r="I678" s="267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>
      <c r="C679" s="267"/>
      <c r="D679" s="267"/>
      <c r="E679" s="267"/>
      <c r="F679" s="267"/>
      <c r="G679" s="267"/>
      <c r="H679" s="267"/>
      <c r="I679" s="267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>
      <c r="C680" s="267"/>
      <c r="D680" s="267"/>
      <c r="E680" s="267"/>
      <c r="F680" s="267"/>
      <c r="G680" s="267"/>
      <c r="H680" s="267"/>
      <c r="I680" s="267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>
      <c r="C681" s="267"/>
      <c r="D681" s="267"/>
      <c r="E681" s="267"/>
      <c r="F681" s="267"/>
      <c r="G681" s="267"/>
      <c r="H681" s="267"/>
      <c r="I681" s="267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>
      <c r="C682" s="267"/>
      <c r="D682" s="267"/>
      <c r="E682" s="267"/>
      <c r="F682" s="267"/>
      <c r="G682" s="267"/>
      <c r="H682" s="267"/>
      <c r="I682" s="267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>
      <c r="C683" s="267"/>
      <c r="D683" s="267"/>
      <c r="E683" s="267"/>
      <c r="F683" s="267"/>
      <c r="G683" s="267"/>
      <c r="H683" s="267"/>
      <c r="I683" s="267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>
      <c r="C684" s="267"/>
      <c r="D684" s="267"/>
      <c r="E684" s="267"/>
      <c r="F684" s="267"/>
      <c r="G684" s="267"/>
      <c r="H684" s="267"/>
      <c r="I684" s="267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>
      <c r="C685" s="267"/>
      <c r="D685" s="267"/>
      <c r="E685" s="267"/>
      <c r="F685" s="267"/>
      <c r="G685" s="267"/>
      <c r="H685" s="267"/>
      <c r="I685" s="267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>
      <c r="C686" s="267"/>
      <c r="D686" s="267"/>
      <c r="E686" s="267"/>
      <c r="F686" s="267"/>
      <c r="G686" s="267"/>
      <c r="H686" s="267"/>
      <c r="I686" s="267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>
      <c r="C687" s="267"/>
      <c r="D687" s="267"/>
      <c r="E687" s="267"/>
      <c r="F687" s="267"/>
      <c r="G687" s="267"/>
      <c r="H687" s="267"/>
      <c r="I687" s="267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>
      <c r="C688" s="267"/>
      <c r="D688" s="267"/>
      <c r="E688" s="267"/>
      <c r="F688" s="267"/>
      <c r="G688" s="267"/>
      <c r="H688" s="267"/>
      <c r="I688" s="267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>
      <c r="C689" s="267"/>
      <c r="D689" s="267"/>
      <c r="E689" s="267"/>
      <c r="F689" s="267"/>
      <c r="G689" s="267"/>
      <c r="H689" s="267"/>
      <c r="I689" s="267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>
      <c r="C690" s="267"/>
      <c r="D690" s="267"/>
      <c r="E690" s="267"/>
      <c r="F690" s="267"/>
      <c r="G690" s="267"/>
      <c r="H690" s="267"/>
      <c r="I690" s="267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>
      <c r="C691" s="267"/>
      <c r="D691" s="267"/>
      <c r="E691" s="267"/>
      <c r="F691" s="267"/>
      <c r="G691" s="267"/>
      <c r="H691" s="267"/>
      <c r="I691" s="267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>
      <c r="C692" s="267"/>
      <c r="D692" s="267"/>
      <c r="E692" s="267"/>
      <c r="F692" s="267"/>
      <c r="G692" s="267"/>
      <c r="H692" s="267"/>
      <c r="I692" s="267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>
      <c r="C693" s="267"/>
      <c r="D693" s="267"/>
      <c r="E693" s="267"/>
      <c r="F693" s="267"/>
      <c r="G693" s="267"/>
      <c r="H693" s="267"/>
      <c r="I693" s="267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>
      <c r="C694" s="267"/>
      <c r="D694" s="267"/>
      <c r="E694" s="267"/>
      <c r="F694" s="267"/>
      <c r="G694" s="267"/>
      <c r="H694" s="267"/>
      <c r="I694" s="267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>
      <c r="C695" s="267"/>
      <c r="D695" s="267"/>
      <c r="E695" s="267"/>
      <c r="F695" s="267"/>
      <c r="G695" s="267"/>
      <c r="H695" s="267"/>
      <c r="I695" s="267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>
      <c r="C696" s="267"/>
      <c r="D696" s="267"/>
      <c r="E696" s="267"/>
      <c r="F696" s="267"/>
      <c r="G696" s="267"/>
      <c r="H696" s="267"/>
      <c r="I696" s="267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>
      <c r="C697" s="267"/>
      <c r="D697" s="267"/>
      <c r="E697" s="267"/>
      <c r="F697" s="267"/>
      <c r="G697" s="267"/>
      <c r="H697" s="267"/>
      <c r="I697" s="267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>
      <c r="C698" s="267"/>
      <c r="D698" s="267"/>
      <c r="E698" s="267"/>
      <c r="F698" s="267"/>
      <c r="G698" s="267"/>
      <c r="H698" s="267"/>
      <c r="I698" s="267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>
      <c r="C699" s="267"/>
      <c r="D699" s="267"/>
      <c r="E699" s="267"/>
      <c r="F699" s="267"/>
      <c r="G699" s="267"/>
      <c r="H699" s="267"/>
      <c r="I699" s="267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>
      <c r="C700" s="267"/>
      <c r="D700" s="267"/>
      <c r="E700" s="267"/>
      <c r="F700" s="267"/>
      <c r="G700" s="267"/>
      <c r="H700" s="267"/>
      <c r="I700" s="267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>
      <c r="C701" s="267"/>
      <c r="D701" s="267"/>
      <c r="E701" s="267"/>
      <c r="F701" s="267"/>
      <c r="G701" s="267"/>
      <c r="H701" s="267"/>
      <c r="I701" s="267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>
      <c r="C702" s="267"/>
      <c r="D702" s="267"/>
      <c r="E702" s="267"/>
      <c r="F702" s="267"/>
      <c r="G702" s="267"/>
      <c r="H702" s="267"/>
      <c r="I702" s="267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>
      <c r="C703" s="267"/>
      <c r="D703" s="267"/>
      <c r="E703" s="267"/>
      <c r="F703" s="267"/>
      <c r="G703" s="267"/>
      <c r="H703" s="267"/>
      <c r="I703" s="267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>
      <c r="C704" s="267"/>
      <c r="D704" s="267"/>
      <c r="E704" s="267"/>
      <c r="F704" s="267"/>
      <c r="G704" s="267"/>
      <c r="H704" s="267"/>
      <c r="I704" s="267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>
      <c r="C705" s="267"/>
      <c r="D705" s="267"/>
      <c r="E705" s="267"/>
      <c r="F705" s="267"/>
      <c r="G705" s="267"/>
      <c r="H705" s="267"/>
      <c r="I705" s="267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>
      <c r="C706" s="267"/>
      <c r="D706" s="267"/>
      <c r="E706" s="267"/>
      <c r="F706" s="267"/>
      <c r="G706" s="267"/>
      <c r="H706" s="267"/>
      <c r="I706" s="267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>
      <c r="C707" s="267"/>
      <c r="D707" s="267"/>
      <c r="E707" s="267"/>
      <c r="F707" s="267"/>
      <c r="G707" s="267"/>
      <c r="H707" s="267"/>
      <c r="I707" s="267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>
      <c r="C708" s="267"/>
      <c r="D708" s="267"/>
      <c r="E708" s="267"/>
      <c r="F708" s="267"/>
      <c r="G708" s="267"/>
      <c r="H708" s="267"/>
      <c r="I708" s="267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>
      <c r="C709" s="267"/>
      <c r="D709" s="267"/>
      <c r="E709" s="267"/>
      <c r="F709" s="267"/>
      <c r="G709" s="267"/>
      <c r="H709" s="267"/>
      <c r="I709" s="267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>
      <c r="C710" s="267"/>
      <c r="D710" s="267"/>
      <c r="E710" s="267"/>
      <c r="F710" s="267"/>
      <c r="G710" s="267"/>
      <c r="H710" s="267"/>
      <c r="I710" s="267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>
      <c r="C711" s="267"/>
      <c r="D711" s="267"/>
      <c r="E711" s="267"/>
      <c r="F711" s="267"/>
      <c r="G711" s="267"/>
      <c r="H711" s="267"/>
      <c r="I711" s="267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>
      <c r="C712" s="267"/>
      <c r="D712" s="267"/>
      <c r="E712" s="267"/>
      <c r="F712" s="267"/>
      <c r="G712" s="267"/>
      <c r="H712" s="267"/>
      <c r="I712" s="267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>
      <c r="C713" s="267"/>
      <c r="D713" s="267"/>
      <c r="E713" s="267"/>
      <c r="F713" s="267"/>
      <c r="G713" s="267"/>
      <c r="H713" s="267"/>
      <c r="I713" s="267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>
      <c r="C714" s="267"/>
      <c r="D714" s="267"/>
      <c r="E714" s="267"/>
      <c r="F714" s="267"/>
      <c r="G714" s="267"/>
      <c r="H714" s="267"/>
      <c r="I714" s="267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>
      <c r="C715" s="267"/>
      <c r="D715" s="267"/>
      <c r="E715" s="267"/>
      <c r="F715" s="267"/>
      <c r="G715" s="267"/>
      <c r="H715" s="267"/>
      <c r="I715" s="267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>
      <c r="C716" s="267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>
      <c r="C717" s="267"/>
      <c r="D717" s="267"/>
      <c r="E717" s="267"/>
      <c r="F717" s="267"/>
      <c r="G717" s="267"/>
      <c r="H717" s="267"/>
      <c r="I717" s="267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>
      <c r="C718" s="267"/>
      <c r="D718" s="267"/>
      <c r="E718" s="267"/>
      <c r="F718" s="267"/>
      <c r="G718" s="267"/>
      <c r="H718" s="267"/>
      <c r="I718" s="267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>
      <c r="C719" s="267"/>
      <c r="D719" s="267"/>
      <c r="E719" s="267"/>
      <c r="F719" s="267"/>
      <c r="G719" s="267"/>
      <c r="H719" s="267"/>
      <c r="I719" s="267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>
      <c r="C720" s="267"/>
      <c r="D720" s="267"/>
      <c r="E720" s="267"/>
      <c r="F720" s="267"/>
      <c r="G720" s="267"/>
      <c r="H720" s="267"/>
      <c r="I720" s="267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>
      <c r="C721" s="267"/>
      <c r="D721" s="267"/>
      <c r="E721" s="267"/>
      <c r="F721" s="267"/>
      <c r="G721" s="267"/>
      <c r="H721" s="267"/>
      <c r="I721" s="267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>
      <c r="C722" s="267"/>
      <c r="D722" s="267"/>
      <c r="E722" s="267"/>
      <c r="F722" s="267"/>
      <c r="G722" s="267"/>
      <c r="H722" s="267"/>
      <c r="I722" s="267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>
      <c r="C723" s="267"/>
      <c r="D723" s="267"/>
      <c r="E723" s="267"/>
      <c r="F723" s="267"/>
      <c r="G723" s="267"/>
      <c r="H723" s="267"/>
      <c r="I723" s="267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>
      <c r="C724" s="267"/>
      <c r="D724" s="267"/>
      <c r="E724" s="267"/>
      <c r="F724" s="267"/>
      <c r="G724" s="267"/>
      <c r="H724" s="267"/>
      <c r="I724" s="267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>
      <c r="C725" s="267"/>
      <c r="D725" s="267"/>
      <c r="E725" s="267"/>
      <c r="F725" s="267"/>
      <c r="G725" s="267"/>
      <c r="H725" s="267"/>
      <c r="I725" s="267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>
      <c r="C726" s="267"/>
      <c r="D726" s="267"/>
      <c r="E726" s="267"/>
      <c r="F726" s="267"/>
      <c r="G726" s="267"/>
      <c r="H726" s="267"/>
      <c r="I726" s="267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>
      <c r="C727" s="267"/>
      <c r="D727" s="267"/>
      <c r="E727" s="267"/>
      <c r="F727" s="267"/>
      <c r="G727" s="267"/>
      <c r="H727" s="267"/>
      <c r="I727" s="267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>
      <c r="C728" s="267"/>
      <c r="D728" s="267"/>
      <c r="E728" s="267"/>
      <c r="F728" s="267"/>
      <c r="G728" s="267"/>
      <c r="H728" s="267"/>
      <c r="I728" s="267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>
      <c r="C729" s="267"/>
      <c r="D729" s="267"/>
      <c r="E729" s="267"/>
      <c r="F729" s="267"/>
      <c r="G729" s="267"/>
      <c r="H729" s="267"/>
      <c r="I729" s="267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>
      <c r="C730" s="267"/>
      <c r="D730" s="267"/>
      <c r="E730" s="267"/>
      <c r="F730" s="267"/>
      <c r="G730" s="267"/>
      <c r="H730" s="267"/>
      <c r="I730" s="267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>
      <c r="C731" s="267"/>
      <c r="D731" s="267"/>
      <c r="E731" s="267"/>
      <c r="F731" s="267"/>
      <c r="G731" s="267"/>
      <c r="H731" s="267"/>
      <c r="I731" s="267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>
      <c r="C732" s="267"/>
      <c r="D732" s="267"/>
      <c r="E732" s="267"/>
      <c r="F732" s="267"/>
      <c r="G732" s="267"/>
      <c r="H732" s="267"/>
      <c r="I732" s="267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>
      <c r="C733" s="267"/>
      <c r="D733" s="267"/>
      <c r="E733" s="267"/>
      <c r="F733" s="267"/>
      <c r="G733" s="267"/>
      <c r="H733" s="267"/>
      <c r="I733" s="267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>
      <c r="C734" s="267"/>
      <c r="D734" s="267"/>
      <c r="E734" s="267"/>
      <c r="F734" s="267"/>
      <c r="G734" s="267"/>
      <c r="H734" s="267"/>
      <c r="I734" s="267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>
      <c r="C735" s="267"/>
      <c r="D735" s="267"/>
      <c r="E735" s="267"/>
      <c r="F735" s="267"/>
      <c r="G735" s="267"/>
      <c r="H735" s="267"/>
      <c r="I735" s="267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>
      <c r="C736" s="267"/>
      <c r="D736" s="267"/>
      <c r="E736" s="267"/>
      <c r="F736" s="267"/>
      <c r="G736" s="267"/>
      <c r="H736" s="267"/>
      <c r="I736" s="267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>
      <c r="C737" s="267"/>
      <c r="D737" s="267"/>
      <c r="E737" s="267"/>
      <c r="F737" s="267"/>
      <c r="G737" s="267"/>
      <c r="H737" s="267"/>
      <c r="I737" s="267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>
      <c r="C738" s="267"/>
      <c r="D738" s="267"/>
      <c r="E738" s="267"/>
      <c r="F738" s="267"/>
      <c r="G738" s="267"/>
      <c r="H738" s="267"/>
      <c r="I738" s="267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>
      <c r="C739" s="267"/>
      <c r="D739" s="267"/>
      <c r="E739" s="267"/>
      <c r="F739" s="267"/>
      <c r="G739" s="267"/>
      <c r="H739" s="267"/>
      <c r="I739" s="267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>
      <c r="C740" s="267"/>
      <c r="D740" s="267"/>
      <c r="E740" s="267"/>
      <c r="F740" s="267"/>
      <c r="G740" s="267"/>
      <c r="H740" s="267"/>
      <c r="I740" s="267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>
      <c r="C741" s="267"/>
      <c r="D741" s="267"/>
      <c r="E741" s="267"/>
      <c r="F741" s="267"/>
      <c r="G741" s="267"/>
      <c r="H741" s="267"/>
      <c r="I741" s="267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>
      <c r="C742" s="267"/>
      <c r="D742" s="267"/>
      <c r="E742" s="267"/>
      <c r="F742" s="267"/>
      <c r="G742" s="267"/>
      <c r="H742" s="267"/>
      <c r="I742" s="267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>
      <c r="C743" s="267"/>
      <c r="D743" s="267"/>
      <c r="E743" s="267"/>
      <c r="F743" s="267"/>
      <c r="G743" s="267"/>
      <c r="H743" s="267"/>
      <c r="I743" s="267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>
      <c r="C744" s="267"/>
      <c r="D744" s="267"/>
      <c r="E744" s="267"/>
      <c r="F744" s="267"/>
      <c r="G744" s="267"/>
      <c r="H744" s="267"/>
      <c r="I744" s="267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>
      <c r="C745" s="267"/>
      <c r="D745" s="267"/>
      <c r="E745" s="267"/>
      <c r="F745" s="267"/>
      <c r="G745" s="267"/>
      <c r="H745" s="267"/>
      <c r="I745" s="267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>
      <c r="C746" s="267"/>
      <c r="D746" s="267"/>
      <c r="E746" s="267"/>
      <c r="F746" s="267"/>
      <c r="G746" s="267"/>
      <c r="H746" s="267"/>
      <c r="I746" s="267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>
      <c r="C747" s="267"/>
      <c r="D747" s="267"/>
      <c r="E747" s="267"/>
      <c r="F747" s="267"/>
      <c r="G747" s="267"/>
      <c r="H747" s="267"/>
      <c r="I747" s="267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>
      <c r="C748" s="267"/>
      <c r="D748" s="267"/>
      <c r="E748" s="267"/>
      <c r="F748" s="267"/>
      <c r="G748" s="267"/>
      <c r="H748" s="267"/>
      <c r="I748" s="267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>
      <c r="C749" s="267"/>
      <c r="D749" s="267"/>
      <c r="E749" s="267"/>
      <c r="F749" s="267"/>
      <c r="G749" s="267"/>
      <c r="H749" s="267"/>
      <c r="I749" s="267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>
      <c r="C750" s="267"/>
      <c r="D750" s="267"/>
      <c r="E750" s="267"/>
      <c r="F750" s="267"/>
      <c r="G750" s="267"/>
      <c r="H750" s="267"/>
      <c r="I750" s="267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>
      <c r="C751" s="267"/>
      <c r="D751" s="267"/>
      <c r="E751" s="267"/>
      <c r="F751" s="267"/>
      <c r="G751" s="267"/>
      <c r="H751" s="267"/>
      <c r="I751" s="267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>
      <c r="C752" s="267"/>
      <c r="D752" s="267"/>
      <c r="E752" s="267"/>
      <c r="F752" s="267"/>
      <c r="G752" s="267"/>
      <c r="H752" s="267"/>
      <c r="I752" s="267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>
      <c r="C753" s="267"/>
      <c r="D753" s="267"/>
      <c r="E753" s="267"/>
      <c r="F753" s="267"/>
      <c r="G753" s="267"/>
      <c r="H753" s="267"/>
      <c r="I753" s="267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>
      <c r="C754" s="267"/>
      <c r="D754" s="267"/>
      <c r="E754" s="267"/>
      <c r="F754" s="267"/>
      <c r="G754" s="267"/>
      <c r="H754" s="267"/>
      <c r="I754" s="267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>
      <c r="C755" s="267"/>
      <c r="D755" s="267"/>
      <c r="E755" s="267"/>
      <c r="F755" s="267"/>
      <c r="G755" s="267"/>
      <c r="H755" s="267"/>
      <c r="I755" s="267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>
      <c r="C756" s="267"/>
      <c r="D756" s="267"/>
      <c r="E756" s="267"/>
      <c r="F756" s="267"/>
      <c r="G756" s="267"/>
      <c r="H756" s="267"/>
      <c r="I756" s="267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>
      <c r="C757" s="267"/>
      <c r="D757" s="267"/>
      <c r="E757" s="267"/>
      <c r="F757" s="267"/>
      <c r="G757" s="267"/>
      <c r="H757" s="267"/>
      <c r="I757" s="267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>
      <c r="C758" s="267"/>
      <c r="D758" s="267"/>
      <c r="E758" s="267"/>
      <c r="F758" s="267"/>
      <c r="G758" s="267"/>
      <c r="H758" s="267"/>
      <c r="I758" s="267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>
      <c r="C759" s="267"/>
      <c r="D759" s="267"/>
      <c r="E759" s="267"/>
      <c r="F759" s="267"/>
      <c r="G759" s="267"/>
      <c r="H759" s="267"/>
      <c r="I759" s="267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>
      <c r="C760" s="267"/>
      <c r="D760" s="267"/>
      <c r="E760" s="267"/>
      <c r="F760" s="267"/>
      <c r="G760" s="267"/>
      <c r="H760" s="267"/>
      <c r="I760" s="267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>
      <c r="C761" s="267"/>
      <c r="D761" s="267"/>
      <c r="E761" s="267"/>
      <c r="F761" s="267"/>
      <c r="G761" s="267"/>
      <c r="H761" s="267"/>
      <c r="I761" s="267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>
      <c r="C762" s="267"/>
      <c r="D762" s="267"/>
      <c r="E762" s="267"/>
      <c r="F762" s="267"/>
      <c r="G762" s="267"/>
      <c r="H762" s="267"/>
      <c r="I762" s="267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>
      <c r="C763" s="267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>
      <c r="C764" s="267"/>
      <c r="D764" s="267"/>
      <c r="E764" s="267"/>
      <c r="F764" s="267"/>
      <c r="G764" s="267"/>
      <c r="H764" s="267"/>
      <c r="I764" s="267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>
      <c r="C765" s="267"/>
      <c r="D765" s="267"/>
      <c r="E765" s="267"/>
      <c r="F765" s="267"/>
      <c r="G765" s="267"/>
      <c r="H765" s="267"/>
      <c r="I765" s="267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>
      <c r="C766" s="267"/>
      <c r="D766" s="267"/>
      <c r="E766" s="267"/>
      <c r="F766" s="267"/>
      <c r="G766" s="267"/>
      <c r="H766" s="267"/>
      <c r="I766" s="267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>
      <c r="C767" s="267"/>
      <c r="D767" s="267"/>
      <c r="E767" s="267"/>
      <c r="F767" s="267"/>
      <c r="G767" s="267"/>
      <c r="H767" s="267"/>
      <c r="I767" s="267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>
      <c r="C768" s="267"/>
      <c r="D768" s="267"/>
      <c r="E768" s="267"/>
      <c r="F768" s="267"/>
      <c r="G768" s="267"/>
      <c r="H768" s="267"/>
      <c r="I768" s="267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>
      <c r="C769" s="267"/>
      <c r="D769" s="267"/>
      <c r="E769" s="267"/>
      <c r="F769" s="267"/>
      <c r="G769" s="267"/>
      <c r="H769" s="267"/>
      <c r="I769" s="267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>
      <c r="C770" s="267"/>
      <c r="D770" s="267"/>
      <c r="E770" s="267"/>
      <c r="F770" s="267"/>
      <c r="G770" s="267"/>
      <c r="H770" s="267"/>
      <c r="I770" s="267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>
      <c r="C771" s="267"/>
      <c r="D771" s="267"/>
      <c r="E771" s="267"/>
      <c r="F771" s="267"/>
      <c r="G771" s="267"/>
      <c r="H771" s="267"/>
      <c r="I771" s="267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>
      <c r="C772" s="267"/>
      <c r="D772" s="267"/>
      <c r="E772" s="267"/>
      <c r="F772" s="267"/>
      <c r="G772" s="267"/>
      <c r="H772" s="267"/>
      <c r="I772" s="267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>
      <c r="C773" s="267"/>
      <c r="D773" s="267"/>
      <c r="E773" s="267"/>
      <c r="F773" s="267"/>
      <c r="G773" s="267"/>
      <c r="H773" s="267"/>
      <c r="I773" s="267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>
      <c r="C774" s="267"/>
      <c r="D774" s="267"/>
      <c r="E774" s="267"/>
      <c r="F774" s="267"/>
      <c r="G774" s="267"/>
      <c r="H774" s="267"/>
      <c r="I774" s="267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>
      <c r="C775" s="267"/>
      <c r="D775" s="267"/>
      <c r="E775" s="267"/>
      <c r="F775" s="267"/>
      <c r="G775" s="267"/>
      <c r="H775" s="267"/>
      <c r="I775" s="267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>
      <c r="C776" s="267"/>
      <c r="D776" s="267"/>
      <c r="E776" s="267"/>
      <c r="F776" s="267"/>
      <c r="G776" s="267"/>
      <c r="H776" s="267"/>
      <c r="I776" s="267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>
      <c r="C777" s="267"/>
      <c r="D777" s="267"/>
      <c r="E777" s="267"/>
      <c r="F777" s="267"/>
      <c r="G777" s="267"/>
      <c r="H777" s="267"/>
      <c r="I777" s="267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>
      <c r="C778" s="267"/>
      <c r="D778" s="267"/>
      <c r="E778" s="267"/>
      <c r="F778" s="267"/>
      <c r="G778" s="267"/>
      <c r="H778" s="267"/>
      <c r="I778" s="267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>
      <c r="C779" s="267"/>
      <c r="D779" s="267"/>
      <c r="E779" s="267"/>
      <c r="F779" s="267"/>
      <c r="G779" s="267"/>
      <c r="H779" s="267"/>
      <c r="I779" s="267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>
      <c r="C780" s="267"/>
      <c r="D780" s="267"/>
      <c r="E780" s="267"/>
      <c r="F780" s="267"/>
      <c r="G780" s="267"/>
      <c r="H780" s="267"/>
      <c r="I780" s="267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>
      <c r="C781" s="267"/>
      <c r="D781" s="267"/>
      <c r="E781" s="267"/>
      <c r="F781" s="267"/>
      <c r="G781" s="267"/>
      <c r="H781" s="267"/>
      <c r="I781" s="267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>
      <c r="C782" s="267"/>
      <c r="D782" s="267"/>
      <c r="E782" s="267"/>
      <c r="F782" s="267"/>
      <c r="G782" s="267"/>
      <c r="H782" s="267"/>
      <c r="I782" s="267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>
      <c r="C783" s="267"/>
      <c r="D783" s="267"/>
      <c r="E783" s="267"/>
      <c r="F783" s="267"/>
      <c r="G783" s="267"/>
      <c r="H783" s="267"/>
      <c r="I783" s="267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>
      <c r="C784" s="267"/>
      <c r="D784" s="267"/>
      <c r="E784" s="267"/>
      <c r="F784" s="267"/>
      <c r="G784" s="267"/>
      <c r="H784" s="267"/>
      <c r="I784" s="267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>
      <c r="C785" s="267"/>
      <c r="D785" s="267"/>
      <c r="E785" s="267"/>
      <c r="F785" s="267"/>
      <c r="G785" s="267"/>
      <c r="H785" s="267"/>
      <c r="I785" s="267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>
      <c r="C786" s="267"/>
      <c r="D786" s="267"/>
      <c r="E786" s="267"/>
      <c r="F786" s="267"/>
      <c r="G786" s="267"/>
      <c r="H786" s="267"/>
      <c r="I786" s="267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>
      <c r="C787" s="267"/>
      <c r="D787" s="267"/>
      <c r="E787" s="267"/>
      <c r="F787" s="267"/>
      <c r="G787" s="267"/>
      <c r="H787" s="267"/>
      <c r="I787" s="267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>
      <c r="C788" s="267"/>
      <c r="D788" s="267"/>
      <c r="E788" s="267"/>
      <c r="F788" s="267"/>
      <c r="G788" s="267"/>
      <c r="H788" s="267"/>
      <c r="I788" s="267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>
      <c r="C789" s="267"/>
      <c r="D789" s="267"/>
      <c r="E789" s="267"/>
      <c r="F789" s="267"/>
      <c r="G789" s="267"/>
      <c r="H789" s="267"/>
      <c r="I789" s="267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>
      <c r="C790" s="267"/>
      <c r="D790" s="267"/>
      <c r="E790" s="267"/>
      <c r="F790" s="267"/>
      <c r="G790" s="267"/>
      <c r="H790" s="267"/>
      <c r="I790" s="267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>
      <c r="C791" s="267"/>
      <c r="D791" s="267"/>
      <c r="E791" s="267"/>
      <c r="F791" s="267"/>
      <c r="G791" s="267"/>
      <c r="H791" s="267"/>
      <c r="I791" s="267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>
      <c r="C792" s="267"/>
      <c r="D792" s="267"/>
      <c r="E792" s="267"/>
      <c r="F792" s="267"/>
      <c r="G792" s="267"/>
      <c r="H792" s="267"/>
      <c r="I792" s="267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>
      <c r="C793" s="267"/>
      <c r="D793" s="267"/>
      <c r="E793" s="267"/>
      <c r="F793" s="267"/>
      <c r="G793" s="267"/>
      <c r="H793" s="267"/>
      <c r="I793" s="267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>
      <c r="C794" s="267"/>
      <c r="D794" s="267"/>
      <c r="E794" s="267"/>
      <c r="F794" s="267"/>
      <c r="G794" s="267"/>
      <c r="H794" s="267"/>
      <c r="I794" s="267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>
      <c r="C795" s="267"/>
      <c r="D795" s="267"/>
      <c r="E795" s="267"/>
      <c r="F795" s="267"/>
      <c r="G795" s="267"/>
      <c r="H795" s="267"/>
      <c r="I795" s="267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>
      <c r="C796" s="267"/>
      <c r="D796" s="267"/>
      <c r="E796" s="267"/>
      <c r="F796" s="267"/>
      <c r="G796" s="267"/>
      <c r="H796" s="267"/>
      <c r="I796" s="267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>
      <c r="C797" s="267"/>
      <c r="D797" s="267"/>
      <c r="E797" s="267"/>
      <c r="F797" s="267"/>
      <c r="G797" s="267"/>
      <c r="H797" s="267"/>
      <c r="I797" s="267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>
      <c r="C798" s="267"/>
      <c r="D798" s="267"/>
      <c r="E798" s="267"/>
      <c r="F798" s="267"/>
      <c r="G798" s="267"/>
      <c r="H798" s="267"/>
      <c r="I798" s="267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>
      <c r="C799" s="267"/>
      <c r="D799" s="267"/>
      <c r="E799" s="267"/>
      <c r="F799" s="267"/>
      <c r="G799" s="267"/>
      <c r="H799" s="267"/>
      <c r="I799" s="267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>
      <c r="C800" s="267"/>
      <c r="D800" s="267"/>
      <c r="E800" s="267"/>
      <c r="F800" s="267"/>
      <c r="G800" s="267"/>
      <c r="H800" s="267"/>
      <c r="I800" s="267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>
      <c r="C801" s="267"/>
      <c r="D801" s="267"/>
      <c r="E801" s="267"/>
      <c r="F801" s="267"/>
      <c r="G801" s="267"/>
      <c r="H801" s="267"/>
      <c r="I801" s="267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>
      <c r="C802" s="267"/>
      <c r="D802" s="267"/>
      <c r="E802" s="267"/>
      <c r="F802" s="267"/>
      <c r="G802" s="267"/>
      <c r="H802" s="267"/>
      <c r="I802" s="267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>
      <c r="C803" s="267"/>
      <c r="D803" s="267"/>
      <c r="E803" s="267"/>
      <c r="F803" s="267"/>
      <c r="G803" s="267"/>
      <c r="H803" s="267"/>
      <c r="I803" s="267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>
      <c r="C804" s="267"/>
      <c r="D804" s="267"/>
      <c r="E804" s="267"/>
      <c r="F804" s="267"/>
      <c r="G804" s="267"/>
      <c r="H804" s="267"/>
      <c r="I804" s="267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>
      <c r="C805" s="267"/>
      <c r="D805" s="267"/>
      <c r="E805" s="267"/>
      <c r="F805" s="267"/>
      <c r="G805" s="267"/>
      <c r="H805" s="267"/>
      <c r="I805" s="267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>
      <c r="C806" s="267"/>
      <c r="D806" s="267"/>
      <c r="E806" s="267"/>
      <c r="F806" s="267"/>
      <c r="G806" s="267"/>
      <c r="H806" s="267"/>
      <c r="I806" s="267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>
      <c r="C807" s="267"/>
      <c r="D807" s="267"/>
      <c r="E807" s="267"/>
      <c r="F807" s="267"/>
      <c r="G807" s="267"/>
      <c r="H807" s="267"/>
      <c r="I807" s="267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>
      <c r="C808" s="267"/>
      <c r="D808" s="267"/>
      <c r="E808" s="267"/>
      <c r="F808" s="267"/>
      <c r="G808" s="267"/>
      <c r="H808" s="267"/>
      <c r="I808" s="267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>
      <c r="C809" s="267"/>
      <c r="D809" s="267"/>
      <c r="E809" s="267"/>
      <c r="F809" s="267"/>
      <c r="G809" s="267"/>
      <c r="H809" s="267"/>
      <c r="I809" s="267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>
      <c r="C810" s="267"/>
      <c r="D810" s="267"/>
      <c r="E810" s="267"/>
      <c r="F810" s="267"/>
      <c r="G810" s="267"/>
      <c r="H810" s="267"/>
      <c r="I810" s="267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>
      <c r="C811" s="267"/>
      <c r="D811" s="267"/>
      <c r="E811" s="267"/>
      <c r="F811" s="267"/>
      <c r="G811" s="267"/>
      <c r="H811" s="267"/>
      <c r="I811" s="267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>
      <c r="C812" s="267"/>
      <c r="D812" s="267"/>
      <c r="E812" s="267"/>
      <c r="F812" s="267"/>
      <c r="G812" s="267"/>
      <c r="H812" s="267"/>
      <c r="I812" s="267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>
      <c r="C813" s="267"/>
      <c r="D813" s="267"/>
      <c r="E813" s="267"/>
      <c r="F813" s="267"/>
      <c r="G813" s="267"/>
      <c r="H813" s="267"/>
      <c r="I813" s="267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>
      <c r="C814" s="267"/>
      <c r="D814" s="267"/>
      <c r="E814" s="267"/>
      <c r="F814" s="267"/>
      <c r="G814" s="267"/>
      <c r="H814" s="267"/>
      <c r="I814" s="267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>
      <c r="C815" s="267"/>
      <c r="D815" s="267"/>
      <c r="E815" s="267"/>
      <c r="F815" s="267"/>
      <c r="G815" s="267"/>
      <c r="H815" s="267"/>
      <c r="I815" s="267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>
      <c r="C816" s="267"/>
      <c r="D816" s="267"/>
      <c r="E816" s="267"/>
      <c r="F816" s="267"/>
      <c r="G816" s="267"/>
      <c r="H816" s="267"/>
      <c r="I816" s="267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>
      <c r="C817" s="267"/>
      <c r="D817" s="267"/>
      <c r="E817" s="267"/>
      <c r="F817" s="267"/>
      <c r="G817" s="267"/>
      <c r="H817" s="267"/>
      <c r="I817" s="267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>
      <c r="C818" s="267"/>
      <c r="D818" s="267"/>
      <c r="E818" s="267"/>
      <c r="F818" s="267"/>
      <c r="G818" s="267"/>
      <c r="H818" s="267"/>
      <c r="I818" s="267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>
      <c r="C819" s="267"/>
      <c r="D819" s="267"/>
      <c r="E819" s="267"/>
      <c r="F819" s="267"/>
      <c r="G819" s="267"/>
      <c r="H819" s="267"/>
      <c r="I819" s="267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>
      <c r="C820" s="267"/>
      <c r="D820" s="267"/>
      <c r="E820" s="267"/>
      <c r="F820" s="267"/>
      <c r="G820" s="267"/>
      <c r="H820" s="267"/>
      <c r="I820" s="267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>
      <c r="C821" s="267"/>
      <c r="D821" s="267"/>
      <c r="E821" s="267"/>
      <c r="F821" s="267"/>
      <c r="G821" s="267"/>
      <c r="H821" s="267"/>
      <c r="I821" s="267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>
      <c r="C822" s="267"/>
      <c r="D822" s="267"/>
      <c r="E822" s="267"/>
      <c r="F822" s="267"/>
      <c r="G822" s="267"/>
      <c r="H822" s="267"/>
      <c r="I822" s="267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>
      <c r="C823" s="267"/>
      <c r="D823" s="267"/>
      <c r="E823" s="267"/>
      <c r="F823" s="267"/>
      <c r="G823" s="267"/>
      <c r="H823" s="267"/>
      <c r="I823" s="267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>
      <c r="C824" s="267"/>
      <c r="D824" s="267"/>
      <c r="E824" s="267"/>
      <c r="F824" s="267"/>
      <c r="G824" s="267"/>
      <c r="H824" s="267"/>
      <c r="I824" s="267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>
      <c r="C825" s="267"/>
      <c r="D825" s="267"/>
      <c r="E825" s="267"/>
      <c r="F825" s="267"/>
      <c r="G825" s="267"/>
      <c r="H825" s="267"/>
      <c r="I825" s="267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>
      <c r="C826" s="267"/>
      <c r="D826" s="267"/>
      <c r="E826" s="267"/>
      <c r="F826" s="267"/>
      <c r="G826" s="267"/>
      <c r="H826" s="267"/>
      <c r="I826" s="267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>
      <c r="C827" s="267"/>
      <c r="D827" s="267"/>
      <c r="E827" s="267"/>
      <c r="F827" s="267"/>
      <c r="G827" s="267"/>
      <c r="H827" s="267"/>
      <c r="I827" s="267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>
      <c r="C828" s="267"/>
      <c r="D828" s="267"/>
      <c r="E828" s="267"/>
      <c r="F828" s="267"/>
      <c r="G828" s="267"/>
      <c r="H828" s="267"/>
      <c r="I828" s="267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>
      <c r="C829" s="267"/>
      <c r="D829" s="267"/>
      <c r="E829" s="267"/>
      <c r="F829" s="267"/>
      <c r="G829" s="267"/>
      <c r="H829" s="267"/>
      <c r="I829" s="267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>
      <c r="C830" s="267"/>
      <c r="D830" s="267"/>
      <c r="E830" s="267"/>
      <c r="F830" s="267"/>
      <c r="G830" s="267"/>
      <c r="H830" s="267"/>
      <c r="I830" s="267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>
      <c r="C831" s="267"/>
      <c r="D831" s="267"/>
      <c r="E831" s="267"/>
      <c r="F831" s="267"/>
      <c r="G831" s="267"/>
      <c r="H831" s="267"/>
      <c r="I831" s="267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>
      <c r="C832" s="267"/>
      <c r="D832" s="267"/>
      <c r="E832" s="267"/>
      <c r="F832" s="267"/>
      <c r="G832" s="267"/>
      <c r="H832" s="267"/>
      <c r="I832" s="267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>
      <c r="C833" s="267"/>
      <c r="D833" s="267"/>
      <c r="E833" s="267"/>
      <c r="F833" s="267"/>
      <c r="G833" s="267"/>
      <c r="H833" s="267"/>
      <c r="I833" s="267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>
      <c r="C834" s="267"/>
      <c r="D834" s="267"/>
      <c r="E834" s="267"/>
      <c r="F834" s="267"/>
      <c r="G834" s="267"/>
      <c r="H834" s="267"/>
      <c r="I834" s="267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>
      <c r="C835" s="267"/>
      <c r="D835" s="267"/>
      <c r="E835" s="267"/>
      <c r="F835" s="267"/>
      <c r="G835" s="267"/>
      <c r="H835" s="267"/>
      <c r="I835" s="267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>
      <c r="C836" s="267"/>
      <c r="D836" s="267"/>
      <c r="E836" s="267"/>
      <c r="F836" s="267"/>
      <c r="G836" s="267"/>
      <c r="H836" s="267"/>
      <c r="I836" s="267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>
      <c r="C837" s="267"/>
      <c r="D837" s="267"/>
      <c r="E837" s="267"/>
      <c r="F837" s="267"/>
      <c r="G837" s="267"/>
      <c r="H837" s="267"/>
      <c r="I837" s="267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>
      <c r="C838" s="267"/>
      <c r="D838" s="267"/>
      <c r="E838" s="267"/>
      <c r="F838" s="267"/>
      <c r="G838" s="267"/>
      <c r="H838" s="267"/>
      <c r="I838" s="267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>
      <c r="C839" s="267"/>
      <c r="D839" s="267"/>
      <c r="E839" s="267"/>
      <c r="F839" s="267"/>
      <c r="G839" s="267"/>
      <c r="H839" s="267"/>
      <c r="I839" s="267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>
      <c r="C840" s="267"/>
      <c r="D840" s="267"/>
      <c r="E840" s="267"/>
      <c r="F840" s="267"/>
      <c r="G840" s="267"/>
      <c r="H840" s="267"/>
      <c r="I840" s="267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>
      <c r="C841" s="267"/>
      <c r="D841" s="267"/>
      <c r="E841" s="267"/>
      <c r="F841" s="267"/>
      <c r="G841" s="267"/>
      <c r="H841" s="267"/>
      <c r="I841" s="267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>
      <c r="C842" s="267"/>
      <c r="D842" s="267"/>
      <c r="E842" s="267"/>
      <c r="F842" s="267"/>
      <c r="G842" s="267"/>
      <c r="H842" s="267"/>
      <c r="I842" s="267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>
      <c r="C843" s="267"/>
      <c r="D843" s="267"/>
      <c r="E843" s="267"/>
      <c r="F843" s="267"/>
      <c r="G843" s="267"/>
      <c r="H843" s="267"/>
      <c r="I843" s="267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>
      <c r="C844" s="267"/>
      <c r="D844" s="267"/>
      <c r="E844" s="267"/>
      <c r="F844" s="267"/>
      <c r="G844" s="267"/>
      <c r="H844" s="267"/>
      <c r="I844" s="267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>
      <c r="C845" s="267"/>
      <c r="D845" s="267"/>
      <c r="E845" s="267"/>
      <c r="F845" s="267"/>
      <c r="G845" s="267"/>
      <c r="H845" s="267"/>
      <c r="I845" s="267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>
      <c r="C846" s="267"/>
      <c r="D846" s="267"/>
      <c r="E846" s="267"/>
      <c r="F846" s="267"/>
      <c r="G846" s="267"/>
      <c r="H846" s="267"/>
      <c r="I846" s="267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>
      <c r="C847" s="267"/>
      <c r="D847" s="267"/>
      <c r="E847" s="267"/>
      <c r="F847" s="267"/>
      <c r="G847" s="267"/>
      <c r="H847" s="267"/>
      <c r="I847" s="267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>
      <c r="C848" s="267"/>
      <c r="D848" s="267"/>
      <c r="E848" s="267"/>
      <c r="F848" s="267"/>
      <c r="G848" s="267"/>
      <c r="H848" s="267"/>
      <c r="I848" s="267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>
      <c r="C849" s="267"/>
      <c r="D849" s="267"/>
      <c r="E849" s="267"/>
      <c r="F849" s="267"/>
      <c r="G849" s="267"/>
      <c r="H849" s="267"/>
      <c r="I849" s="267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>
      <c r="C850" s="267"/>
      <c r="D850" s="267"/>
      <c r="E850" s="267"/>
      <c r="F850" s="267"/>
      <c r="G850" s="267"/>
      <c r="H850" s="267"/>
      <c r="I850" s="267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>
      <c r="C851" s="267"/>
      <c r="D851" s="267"/>
      <c r="E851" s="267"/>
      <c r="F851" s="267"/>
      <c r="G851" s="267"/>
      <c r="H851" s="267"/>
      <c r="I851" s="267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>
      <c r="C852" s="267"/>
      <c r="D852" s="267"/>
      <c r="E852" s="267"/>
      <c r="F852" s="267"/>
      <c r="G852" s="267"/>
      <c r="H852" s="267"/>
      <c r="I852" s="267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>
      <c r="C853" s="267"/>
      <c r="D853" s="267"/>
      <c r="E853" s="267"/>
      <c r="F853" s="267"/>
      <c r="G853" s="267"/>
      <c r="H853" s="267"/>
      <c r="I853" s="267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>
      <c r="C854" s="267"/>
      <c r="D854" s="267"/>
      <c r="E854" s="267"/>
      <c r="F854" s="267"/>
      <c r="G854" s="267"/>
      <c r="H854" s="267"/>
      <c r="I854" s="267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>
      <c r="C855" s="267"/>
      <c r="D855" s="267"/>
      <c r="E855" s="267"/>
      <c r="F855" s="267"/>
      <c r="G855" s="267"/>
      <c r="H855" s="267"/>
      <c r="I855" s="267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>
      <c r="C856" s="267"/>
      <c r="D856" s="267"/>
      <c r="E856" s="267"/>
      <c r="F856" s="267"/>
      <c r="G856" s="267"/>
      <c r="H856" s="267"/>
      <c r="I856" s="267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>
      <c r="C857" s="267"/>
      <c r="D857" s="267"/>
      <c r="E857" s="267"/>
      <c r="F857" s="267"/>
      <c r="G857" s="267"/>
      <c r="H857" s="267"/>
      <c r="I857" s="267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>
      <c r="C858" s="267"/>
      <c r="D858" s="267"/>
      <c r="E858" s="267"/>
      <c r="F858" s="267"/>
      <c r="G858" s="267"/>
      <c r="H858" s="267"/>
      <c r="I858" s="267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>
      <c r="C859" s="267"/>
      <c r="D859" s="267"/>
      <c r="E859" s="267"/>
      <c r="F859" s="267"/>
      <c r="G859" s="267"/>
      <c r="H859" s="267"/>
      <c r="I859" s="267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>
      <c r="C860" s="267"/>
      <c r="D860" s="267"/>
      <c r="E860" s="267"/>
      <c r="F860" s="267"/>
      <c r="G860" s="267"/>
      <c r="H860" s="267"/>
      <c r="I860" s="267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>
      <c r="C861" s="267"/>
      <c r="D861" s="267"/>
      <c r="E861" s="267"/>
      <c r="F861" s="267"/>
      <c r="G861" s="267"/>
      <c r="H861" s="267"/>
      <c r="I861" s="267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>
      <c r="C862" s="267"/>
      <c r="D862" s="267"/>
      <c r="E862" s="267"/>
      <c r="F862" s="267"/>
      <c r="G862" s="267"/>
      <c r="H862" s="267"/>
      <c r="I862" s="267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>
      <c r="C863" s="267"/>
      <c r="D863" s="267"/>
      <c r="E863" s="267"/>
      <c r="F863" s="267"/>
      <c r="G863" s="267"/>
      <c r="H863" s="267"/>
      <c r="I863" s="267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>
      <c r="C864" s="267"/>
      <c r="D864" s="267"/>
      <c r="E864" s="267"/>
      <c r="F864" s="267"/>
      <c r="G864" s="267"/>
      <c r="H864" s="267"/>
      <c r="I864" s="267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>
      <c r="C865" s="267"/>
      <c r="D865" s="267"/>
      <c r="E865" s="267"/>
      <c r="F865" s="267"/>
      <c r="G865" s="267"/>
      <c r="H865" s="267"/>
      <c r="I865" s="267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>
      <c r="C866" s="267"/>
      <c r="D866" s="267"/>
      <c r="E866" s="267"/>
      <c r="F866" s="267"/>
      <c r="G866" s="267"/>
      <c r="H866" s="267"/>
      <c r="I866" s="267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>
      <c r="C867" s="267"/>
      <c r="D867" s="267"/>
      <c r="E867" s="267"/>
      <c r="F867" s="267"/>
      <c r="G867" s="267"/>
      <c r="H867" s="267"/>
      <c r="I867" s="267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>
      <c r="C868" s="267"/>
      <c r="D868" s="267"/>
      <c r="E868" s="267"/>
      <c r="F868" s="267"/>
      <c r="G868" s="267"/>
      <c r="H868" s="267"/>
      <c r="I868" s="267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>
      <c r="C869" s="267"/>
      <c r="D869" s="267"/>
      <c r="E869" s="267"/>
      <c r="F869" s="267"/>
      <c r="G869" s="267"/>
      <c r="H869" s="267"/>
      <c r="I869" s="267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>
      <c r="C870" s="267"/>
      <c r="D870" s="267"/>
      <c r="E870" s="267"/>
      <c r="F870" s="267"/>
      <c r="G870" s="267"/>
      <c r="H870" s="267"/>
      <c r="I870" s="267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>
      <c r="C871" s="267"/>
      <c r="D871" s="267"/>
      <c r="E871" s="267"/>
      <c r="F871" s="267"/>
      <c r="G871" s="267"/>
      <c r="H871" s="267"/>
      <c r="I871" s="267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>
      <c r="C872" s="267"/>
      <c r="D872" s="267"/>
      <c r="E872" s="267"/>
      <c r="F872" s="267"/>
      <c r="G872" s="267"/>
      <c r="H872" s="267"/>
      <c r="I872" s="267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>
      <c r="C873" s="267"/>
      <c r="D873" s="267"/>
      <c r="E873" s="267"/>
      <c r="F873" s="267"/>
      <c r="G873" s="267"/>
      <c r="H873" s="267"/>
      <c r="I873" s="267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>
      <c r="C874" s="267"/>
      <c r="D874" s="267"/>
      <c r="E874" s="267"/>
      <c r="F874" s="267"/>
      <c r="G874" s="267"/>
      <c r="H874" s="267"/>
      <c r="I874" s="267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>
      <c r="C875" s="267"/>
      <c r="D875" s="267"/>
      <c r="E875" s="267"/>
      <c r="F875" s="267"/>
      <c r="G875" s="267"/>
      <c r="H875" s="267"/>
      <c r="I875" s="267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>
      <c r="C876" s="267"/>
      <c r="D876" s="267"/>
      <c r="E876" s="267"/>
      <c r="F876" s="267"/>
      <c r="G876" s="267"/>
      <c r="H876" s="267"/>
      <c r="I876" s="267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>
      <c r="C877" s="267"/>
      <c r="D877" s="267"/>
      <c r="E877" s="267"/>
      <c r="F877" s="267"/>
      <c r="G877" s="267"/>
      <c r="H877" s="267"/>
      <c r="I877" s="267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>
      <c r="C878" s="267"/>
      <c r="D878" s="267"/>
      <c r="E878" s="267"/>
      <c r="F878" s="267"/>
      <c r="G878" s="267"/>
      <c r="H878" s="267"/>
      <c r="I878" s="267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>
      <c r="C879" s="267"/>
      <c r="D879" s="267"/>
      <c r="E879" s="267"/>
      <c r="F879" s="267"/>
      <c r="G879" s="267"/>
      <c r="H879" s="267"/>
      <c r="I879" s="267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>
      <c r="C880" s="267"/>
      <c r="D880" s="267"/>
      <c r="E880" s="267"/>
      <c r="F880" s="267"/>
      <c r="G880" s="267"/>
      <c r="H880" s="267"/>
      <c r="I880" s="267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>
      <c r="C881" s="267"/>
      <c r="D881" s="267"/>
      <c r="E881" s="267"/>
      <c r="F881" s="267"/>
      <c r="G881" s="267"/>
      <c r="H881" s="267"/>
      <c r="I881" s="267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>
      <c r="C882" s="267"/>
      <c r="D882" s="267"/>
      <c r="E882" s="267"/>
      <c r="F882" s="267"/>
      <c r="G882" s="267"/>
      <c r="H882" s="267"/>
      <c r="I882" s="267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>
      <c r="C883" s="267"/>
      <c r="D883" s="267"/>
      <c r="E883" s="267"/>
      <c r="F883" s="267"/>
      <c r="G883" s="267"/>
      <c r="H883" s="267"/>
      <c r="I883" s="267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>
      <c r="C884" s="267"/>
      <c r="D884" s="267"/>
      <c r="E884" s="267"/>
      <c r="F884" s="267"/>
      <c r="G884" s="267"/>
      <c r="H884" s="267"/>
      <c r="I884" s="267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>
      <c r="C885" s="267"/>
      <c r="D885" s="267"/>
      <c r="E885" s="267"/>
      <c r="F885" s="267"/>
      <c r="G885" s="267"/>
      <c r="H885" s="267"/>
      <c r="I885" s="267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>
      <c r="C886" s="267"/>
      <c r="D886" s="267"/>
      <c r="E886" s="267"/>
      <c r="F886" s="267"/>
      <c r="G886" s="267"/>
      <c r="H886" s="267"/>
      <c r="I886" s="267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>
      <c r="C887" s="267"/>
      <c r="D887" s="267"/>
      <c r="E887" s="267"/>
      <c r="F887" s="267"/>
      <c r="G887" s="267"/>
      <c r="H887" s="267"/>
      <c r="I887" s="267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>
      <c r="C888" s="267"/>
      <c r="D888" s="267"/>
      <c r="E888" s="267"/>
      <c r="F888" s="267"/>
      <c r="G888" s="267"/>
      <c r="H888" s="267"/>
      <c r="I888" s="267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>
      <c r="C889" s="267"/>
      <c r="D889" s="267"/>
      <c r="E889" s="267"/>
      <c r="F889" s="267"/>
      <c r="G889" s="267"/>
      <c r="H889" s="267"/>
      <c r="I889" s="267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>
      <c r="C890" s="267"/>
      <c r="D890" s="267"/>
      <c r="E890" s="267"/>
      <c r="F890" s="267"/>
      <c r="G890" s="267"/>
      <c r="H890" s="267"/>
      <c r="I890" s="267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>
      <c r="C891" s="267"/>
      <c r="D891" s="267"/>
      <c r="E891" s="267"/>
      <c r="F891" s="267"/>
      <c r="G891" s="267"/>
      <c r="H891" s="267"/>
      <c r="I891" s="267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>
      <c r="C892" s="267"/>
      <c r="D892" s="267"/>
      <c r="E892" s="267"/>
      <c r="F892" s="267"/>
      <c r="G892" s="267"/>
      <c r="H892" s="267"/>
      <c r="I892" s="267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>
      <c r="C893" s="267"/>
      <c r="D893" s="267"/>
      <c r="E893" s="267"/>
      <c r="F893" s="267"/>
      <c r="G893" s="267"/>
      <c r="H893" s="267"/>
      <c r="I893" s="267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>
      <c r="C894" s="267"/>
      <c r="D894" s="267"/>
      <c r="E894" s="267"/>
      <c r="F894" s="267"/>
      <c r="G894" s="267"/>
      <c r="H894" s="267"/>
      <c r="I894" s="267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>
      <c r="C895" s="267"/>
      <c r="D895" s="267"/>
      <c r="E895" s="267"/>
      <c r="F895" s="267"/>
      <c r="G895" s="267"/>
      <c r="H895" s="267"/>
      <c r="I895" s="267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>
      <c r="C896" s="267"/>
      <c r="D896" s="267"/>
      <c r="E896" s="267"/>
      <c r="F896" s="267"/>
      <c r="G896" s="267"/>
      <c r="H896" s="267"/>
      <c r="I896" s="267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>
      <c r="C897" s="267"/>
      <c r="D897" s="267"/>
      <c r="E897" s="267"/>
      <c r="F897" s="267"/>
      <c r="G897" s="267"/>
      <c r="H897" s="267"/>
      <c r="I897" s="267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>
      <c r="C898" s="267"/>
      <c r="D898" s="267"/>
      <c r="E898" s="267"/>
      <c r="F898" s="267"/>
      <c r="G898" s="267"/>
      <c r="H898" s="267"/>
      <c r="I898" s="267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>
      <c r="C899" s="267"/>
      <c r="D899" s="267"/>
      <c r="E899" s="267"/>
      <c r="F899" s="267"/>
      <c r="G899" s="267"/>
      <c r="H899" s="267"/>
      <c r="I899" s="267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>
      <c r="C900" s="267"/>
      <c r="D900" s="267"/>
      <c r="E900" s="267"/>
      <c r="F900" s="267"/>
      <c r="G900" s="267"/>
      <c r="H900" s="267"/>
      <c r="I900" s="267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>
      <c r="C901" s="267"/>
      <c r="D901" s="267"/>
      <c r="E901" s="267"/>
      <c r="F901" s="267"/>
      <c r="G901" s="267"/>
      <c r="H901" s="267"/>
      <c r="I901" s="267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>
      <c r="C902" s="267"/>
      <c r="D902" s="267"/>
      <c r="E902" s="267"/>
      <c r="F902" s="267"/>
      <c r="G902" s="267"/>
      <c r="H902" s="267"/>
      <c r="I902" s="267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>
      <c r="C903" s="267"/>
      <c r="D903" s="267"/>
      <c r="E903" s="267"/>
      <c r="F903" s="267"/>
      <c r="G903" s="267"/>
      <c r="H903" s="267"/>
      <c r="I903" s="267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>
      <c r="C904" s="267"/>
      <c r="D904" s="267"/>
      <c r="E904" s="267"/>
      <c r="F904" s="267"/>
      <c r="G904" s="267"/>
      <c r="H904" s="267"/>
      <c r="I904" s="267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>
      <c r="C905" s="267"/>
      <c r="D905" s="267"/>
      <c r="E905" s="267"/>
      <c r="F905" s="267"/>
      <c r="G905" s="267"/>
      <c r="H905" s="267"/>
      <c r="I905" s="267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>
      <c r="C906" s="267"/>
      <c r="D906" s="267"/>
      <c r="E906" s="267"/>
      <c r="F906" s="267"/>
      <c r="G906" s="267"/>
      <c r="H906" s="267"/>
      <c r="I906" s="267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>
      <c r="C907" s="267"/>
      <c r="D907" s="267"/>
      <c r="E907" s="267"/>
      <c r="F907" s="267"/>
      <c r="G907" s="267"/>
      <c r="H907" s="267"/>
      <c r="I907" s="267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>
      <c r="C908" s="267"/>
      <c r="D908" s="267"/>
      <c r="E908" s="267"/>
      <c r="F908" s="267"/>
      <c r="G908" s="267"/>
      <c r="H908" s="267"/>
      <c r="I908" s="267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>
      <c r="C909" s="267"/>
      <c r="D909" s="267"/>
      <c r="E909" s="267"/>
      <c r="F909" s="267"/>
      <c r="G909" s="267"/>
      <c r="H909" s="267"/>
      <c r="I909" s="267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>
      <c r="C910" s="267"/>
      <c r="D910" s="267"/>
      <c r="E910" s="267"/>
      <c r="F910" s="267"/>
      <c r="G910" s="267"/>
      <c r="H910" s="267"/>
      <c r="I910" s="267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>
      <c r="C911" s="267"/>
      <c r="D911" s="267"/>
      <c r="E911" s="267"/>
      <c r="F911" s="267"/>
      <c r="G911" s="267"/>
      <c r="H911" s="267"/>
      <c r="I911" s="267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>
      <c r="C912" s="267"/>
      <c r="D912" s="267"/>
      <c r="E912" s="267"/>
      <c r="F912" s="267"/>
      <c r="G912" s="267"/>
      <c r="H912" s="267"/>
      <c r="I912" s="267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>
      <c r="C913" s="267"/>
      <c r="D913" s="267"/>
      <c r="E913" s="267"/>
      <c r="F913" s="267"/>
      <c r="G913" s="267"/>
      <c r="H913" s="267"/>
      <c r="I913" s="267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>
      <c r="C914" s="267"/>
      <c r="D914" s="267"/>
      <c r="E914" s="267"/>
      <c r="F914" s="267"/>
      <c r="G914" s="267"/>
      <c r="H914" s="267"/>
      <c r="I914" s="267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>
      <c r="C915" s="267"/>
      <c r="D915" s="267"/>
      <c r="E915" s="267"/>
      <c r="F915" s="267"/>
      <c r="G915" s="267"/>
      <c r="H915" s="267"/>
      <c r="I915" s="267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>
      <c r="C916" s="267"/>
      <c r="D916" s="267"/>
      <c r="E916" s="267"/>
      <c r="F916" s="267"/>
      <c r="G916" s="267"/>
      <c r="H916" s="267"/>
      <c r="I916" s="267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>
      <c r="C917" s="267"/>
      <c r="D917" s="267"/>
      <c r="E917" s="267"/>
      <c r="F917" s="267"/>
      <c r="G917" s="267"/>
      <c r="H917" s="267"/>
      <c r="I917" s="267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>
      <c r="C918" s="267"/>
      <c r="D918" s="267"/>
      <c r="E918" s="267"/>
      <c r="F918" s="267"/>
      <c r="G918" s="267"/>
      <c r="H918" s="267"/>
      <c r="I918" s="267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>
      <c r="C919" s="267"/>
      <c r="D919" s="267"/>
      <c r="E919" s="267"/>
      <c r="F919" s="267"/>
      <c r="G919" s="267"/>
      <c r="H919" s="267"/>
      <c r="I919" s="267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>
      <c r="C920" s="267"/>
      <c r="D920" s="267"/>
      <c r="E920" s="267"/>
      <c r="F920" s="267"/>
      <c r="G920" s="267"/>
      <c r="H920" s="267"/>
      <c r="I920" s="267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>
      <c r="C921" s="267"/>
      <c r="D921" s="267"/>
      <c r="E921" s="267"/>
      <c r="F921" s="267"/>
      <c r="G921" s="267"/>
      <c r="H921" s="267"/>
      <c r="I921" s="267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>
      <c r="C922" s="267"/>
      <c r="D922" s="267"/>
      <c r="E922" s="267"/>
      <c r="F922" s="267"/>
      <c r="G922" s="267"/>
      <c r="H922" s="267"/>
      <c r="I922" s="267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>
      <c r="C923" s="267"/>
      <c r="D923" s="267"/>
      <c r="E923" s="267"/>
      <c r="F923" s="267"/>
      <c r="G923" s="267"/>
      <c r="H923" s="267"/>
      <c r="I923" s="267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>
      <c r="C924" s="267"/>
      <c r="D924" s="267"/>
      <c r="E924" s="267"/>
      <c r="F924" s="267"/>
      <c r="G924" s="267"/>
      <c r="H924" s="267"/>
      <c r="I924" s="267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>
      <c r="C925" s="267"/>
      <c r="D925" s="267"/>
      <c r="E925" s="267"/>
      <c r="F925" s="267"/>
      <c r="G925" s="267"/>
      <c r="H925" s="267"/>
      <c r="I925" s="267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>
      <c r="C926" s="267"/>
      <c r="D926" s="267"/>
      <c r="E926" s="267"/>
      <c r="F926" s="267"/>
      <c r="G926" s="267"/>
      <c r="H926" s="267"/>
      <c r="I926" s="267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>
      <c r="C927" s="267"/>
      <c r="D927" s="267"/>
      <c r="E927" s="267"/>
      <c r="F927" s="267"/>
      <c r="G927" s="267"/>
      <c r="H927" s="267"/>
      <c r="I927" s="267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>
      <c r="C928" s="267"/>
      <c r="D928" s="267"/>
      <c r="E928" s="267"/>
      <c r="F928" s="267"/>
      <c r="G928" s="267"/>
      <c r="H928" s="267"/>
      <c r="I928" s="267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>
      <c r="C929" s="267"/>
      <c r="D929" s="267"/>
      <c r="E929" s="267"/>
      <c r="F929" s="267"/>
      <c r="G929" s="267"/>
      <c r="H929" s="267"/>
      <c r="I929" s="267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>
      <c r="C930" s="267"/>
      <c r="D930" s="267"/>
      <c r="E930" s="267"/>
      <c r="F930" s="267"/>
      <c r="G930" s="267"/>
      <c r="H930" s="267"/>
      <c r="I930" s="267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>
      <c r="C931" s="267"/>
      <c r="D931" s="267"/>
      <c r="E931" s="267"/>
      <c r="F931" s="267"/>
      <c r="G931" s="267"/>
      <c r="H931" s="267"/>
      <c r="I931" s="267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>
      <c r="C932" s="267"/>
      <c r="D932" s="267"/>
      <c r="E932" s="267"/>
      <c r="F932" s="267"/>
      <c r="G932" s="267"/>
      <c r="H932" s="267"/>
      <c r="I932" s="267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>
      <c r="C933" s="267"/>
      <c r="D933" s="267"/>
      <c r="E933" s="267"/>
      <c r="F933" s="267"/>
      <c r="G933" s="267"/>
      <c r="H933" s="267"/>
      <c r="I933" s="267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>
      <c r="C934" s="267"/>
      <c r="D934" s="267"/>
      <c r="E934" s="267"/>
      <c r="F934" s="267"/>
      <c r="G934" s="267"/>
      <c r="H934" s="267"/>
      <c r="I934" s="267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>
      <c r="C935" s="267"/>
      <c r="D935" s="267"/>
      <c r="E935" s="267"/>
      <c r="F935" s="267"/>
      <c r="G935" s="267"/>
      <c r="H935" s="267"/>
      <c r="I935" s="267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>
      <c r="C936" s="267"/>
      <c r="D936" s="267"/>
      <c r="E936" s="267"/>
      <c r="F936" s="267"/>
      <c r="G936" s="267"/>
      <c r="H936" s="267"/>
      <c r="I936" s="267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>
      <c r="C937" s="267"/>
      <c r="D937" s="267"/>
      <c r="E937" s="267"/>
      <c r="F937" s="267"/>
      <c r="G937" s="267"/>
      <c r="H937" s="267"/>
      <c r="I937" s="267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>
      <c r="C938" s="267"/>
      <c r="D938" s="267"/>
      <c r="E938" s="267"/>
      <c r="F938" s="267"/>
      <c r="G938" s="267"/>
      <c r="H938" s="267"/>
      <c r="I938" s="267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>
      <c r="C939" s="267"/>
      <c r="D939" s="267"/>
      <c r="E939" s="267"/>
      <c r="F939" s="267"/>
      <c r="G939" s="267"/>
      <c r="H939" s="267"/>
      <c r="I939" s="267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>
      <c r="C940" s="267"/>
      <c r="D940" s="267"/>
      <c r="E940" s="267"/>
      <c r="F940" s="267"/>
      <c r="G940" s="267"/>
      <c r="H940" s="267"/>
      <c r="I940" s="267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>
      <c r="C941" s="267"/>
      <c r="D941" s="267"/>
      <c r="E941" s="267"/>
      <c r="F941" s="267"/>
      <c r="G941" s="267"/>
      <c r="H941" s="267"/>
      <c r="I941" s="267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>
      <c r="C942" s="267"/>
      <c r="D942" s="267"/>
      <c r="E942" s="267"/>
      <c r="F942" s="267"/>
      <c r="G942" s="267"/>
      <c r="H942" s="267"/>
      <c r="I942" s="267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>
      <c r="C943" s="267"/>
      <c r="D943" s="267"/>
      <c r="E943" s="267"/>
      <c r="F943" s="267"/>
      <c r="G943" s="267"/>
      <c r="H943" s="267"/>
      <c r="I943" s="267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>
      <c r="C944" s="267"/>
      <c r="D944" s="267"/>
      <c r="E944" s="267"/>
      <c r="F944" s="267"/>
      <c r="G944" s="267"/>
      <c r="H944" s="267"/>
      <c r="I944" s="267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>
      <c r="C945" s="267"/>
      <c r="D945" s="267"/>
      <c r="E945" s="267"/>
      <c r="F945" s="267"/>
      <c r="G945" s="267"/>
      <c r="H945" s="267"/>
      <c r="I945" s="267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>
      <c r="C946" s="267"/>
      <c r="D946" s="267"/>
      <c r="E946" s="267"/>
      <c r="F946" s="267"/>
      <c r="G946" s="267"/>
      <c r="H946" s="267"/>
      <c r="I946" s="267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>
      <c r="C947" s="267"/>
      <c r="D947" s="267"/>
      <c r="E947" s="267"/>
      <c r="F947" s="267"/>
      <c r="G947" s="267"/>
      <c r="H947" s="267"/>
      <c r="I947" s="267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>
      <c r="C948" s="267"/>
      <c r="D948" s="267"/>
      <c r="E948" s="267"/>
      <c r="F948" s="267"/>
      <c r="G948" s="267"/>
      <c r="H948" s="267"/>
      <c r="I948" s="267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>
      <c r="C949" s="267"/>
      <c r="D949" s="267"/>
      <c r="E949" s="267"/>
      <c r="F949" s="267"/>
      <c r="G949" s="267"/>
      <c r="H949" s="267"/>
      <c r="I949" s="267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>
      <c r="C950" s="267"/>
      <c r="D950" s="267"/>
      <c r="E950" s="267"/>
      <c r="F950" s="267"/>
      <c r="G950" s="267"/>
      <c r="H950" s="267"/>
      <c r="I950" s="267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>
      <c r="C951" s="267"/>
      <c r="D951" s="267"/>
      <c r="E951" s="267"/>
      <c r="F951" s="267"/>
      <c r="G951" s="267"/>
      <c r="H951" s="267"/>
      <c r="I951" s="267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>
      <c r="C952" s="267"/>
      <c r="D952" s="267"/>
      <c r="E952" s="267"/>
      <c r="F952" s="267"/>
      <c r="G952" s="267"/>
      <c r="H952" s="267"/>
      <c r="I952" s="267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>
      <c r="C953" s="267"/>
      <c r="D953" s="267"/>
      <c r="E953" s="267"/>
      <c r="F953" s="267"/>
      <c r="G953" s="267"/>
      <c r="H953" s="267"/>
      <c r="I953" s="267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>
      <c r="C954" s="267"/>
      <c r="D954" s="267"/>
      <c r="E954" s="267"/>
      <c r="F954" s="267"/>
      <c r="G954" s="267"/>
      <c r="H954" s="267"/>
      <c r="I954" s="267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>
      <c r="C955" s="267"/>
      <c r="D955" s="267"/>
      <c r="E955" s="267"/>
      <c r="F955" s="267"/>
      <c r="G955" s="267"/>
      <c r="H955" s="267"/>
      <c r="I955" s="267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>
      <c r="C956" s="267"/>
      <c r="D956" s="267"/>
      <c r="E956" s="267"/>
      <c r="F956" s="267"/>
      <c r="G956" s="267"/>
      <c r="H956" s="267"/>
      <c r="I956" s="267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>
      <c r="C957" s="267"/>
      <c r="D957" s="267"/>
      <c r="E957" s="267"/>
      <c r="F957" s="267"/>
      <c r="G957" s="267"/>
      <c r="H957" s="267"/>
      <c r="I957" s="267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>
      <c r="C958" s="267"/>
      <c r="D958" s="267"/>
      <c r="E958" s="267"/>
      <c r="F958" s="267"/>
      <c r="G958" s="267"/>
      <c r="H958" s="267"/>
      <c r="I958" s="267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>
      <c r="C959" s="267"/>
      <c r="D959" s="267"/>
      <c r="E959" s="267"/>
      <c r="F959" s="267"/>
      <c r="G959" s="267"/>
      <c r="H959" s="267"/>
      <c r="I959" s="267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>
      <c r="C960" s="267"/>
      <c r="D960" s="267"/>
      <c r="E960" s="267"/>
      <c r="F960" s="267"/>
      <c r="G960" s="267"/>
      <c r="H960" s="267"/>
      <c r="I960" s="267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>
      <c r="C961" s="267"/>
      <c r="D961" s="267"/>
      <c r="E961" s="267"/>
      <c r="F961" s="267"/>
      <c r="G961" s="267"/>
      <c r="H961" s="267"/>
      <c r="I961" s="267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>
      <c r="C962" s="267"/>
      <c r="D962" s="267"/>
      <c r="E962" s="267"/>
      <c r="F962" s="267"/>
      <c r="G962" s="267"/>
      <c r="H962" s="267"/>
      <c r="I962" s="267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>
      <c r="C963" s="267"/>
      <c r="D963" s="267"/>
      <c r="E963" s="267"/>
      <c r="F963" s="267"/>
      <c r="G963" s="267"/>
      <c r="H963" s="267"/>
      <c r="I963" s="267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>
      <c r="C964" s="267"/>
      <c r="D964" s="267"/>
      <c r="E964" s="267"/>
      <c r="F964" s="267"/>
      <c r="G964" s="267"/>
      <c r="H964" s="267"/>
      <c r="I964" s="267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>
      <c r="C965" s="267"/>
      <c r="D965" s="267"/>
      <c r="E965" s="267"/>
      <c r="F965" s="267"/>
      <c r="G965" s="267"/>
      <c r="H965" s="267"/>
      <c r="I965" s="267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>
      <c r="C966" s="267"/>
      <c r="D966" s="267"/>
      <c r="E966" s="267"/>
      <c r="F966" s="267"/>
      <c r="G966" s="267"/>
      <c r="H966" s="267"/>
      <c r="I966" s="267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>
      <c r="C967" s="267"/>
      <c r="D967" s="267"/>
      <c r="E967" s="267"/>
      <c r="F967" s="267"/>
      <c r="G967" s="267"/>
      <c r="H967" s="267"/>
      <c r="I967" s="267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>
      <c r="C968" s="267"/>
      <c r="D968" s="267"/>
      <c r="E968" s="267"/>
      <c r="F968" s="267"/>
      <c r="G968" s="267"/>
      <c r="H968" s="267"/>
      <c r="I968" s="267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>
      <c r="C969" s="267"/>
      <c r="D969" s="267"/>
      <c r="E969" s="267"/>
      <c r="F969" s="267"/>
      <c r="G969" s="267"/>
      <c r="H969" s="267"/>
      <c r="I969" s="267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>
      <c r="C970" s="267"/>
      <c r="D970" s="267"/>
      <c r="E970" s="267"/>
      <c r="F970" s="267"/>
      <c r="G970" s="267"/>
      <c r="H970" s="267"/>
      <c r="I970" s="267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>
      <c r="C971" s="267"/>
      <c r="D971" s="267"/>
      <c r="E971" s="267"/>
      <c r="F971" s="267"/>
      <c r="G971" s="267"/>
      <c r="H971" s="267"/>
      <c r="I971" s="267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>
      <c r="C972" s="267"/>
      <c r="D972" s="267"/>
      <c r="E972" s="267"/>
      <c r="F972" s="267"/>
      <c r="G972" s="267"/>
      <c r="H972" s="267"/>
      <c r="I972" s="267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>
      <c r="C973" s="267"/>
      <c r="D973" s="267"/>
      <c r="E973" s="267"/>
      <c r="F973" s="267"/>
      <c r="G973" s="267"/>
      <c r="H973" s="267"/>
      <c r="I973" s="267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>
      <c r="C974" s="267"/>
      <c r="D974" s="267"/>
      <c r="E974" s="267"/>
      <c r="F974" s="267"/>
      <c r="G974" s="267"/>
      <c r="H974" s="267"/>
      <c r="I974" s="267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>
      <c r="C975" s="267"/>
      <c r="D975" s="267"/>
      <c r="E975" s="267"/>
      <c r="F975" s="267"/>
      <c r="G975" s="267"/>
      <c r="H975" s="267"/>
      <c r="I975" s="267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>
      <c r="C976" s="267"/>
      <c r="D976" s="267"/>
      <c r="E976" s="267"/>
      <c r="F976" s="267"/>
      <c r="G976" s="267"/>
      <c r="H976" s="267"/>
      <c r="I976" s="267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>
      <c r="C977" s="267"/>
      <c r="D977" s="267"/>
      <c r="E977" s="267"/>
      <c r="F977" s="267"/>
      <c r="G977" s="267"/>
      <c r="H977" s="267"/>
      <c r="I977" s="267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>
      <c r="C978" s="267"/>
      <c r="D978" s="267"/>
      <c r="E978" s="267"/>
      <c r="F978" s="267"/>
      <c r="G978" s="267"/>
      <c r="H978" s="267"/>
      <c r="I978" s="267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>
      <c r="C979" s="267"/>
      <c r="D979" s="267"/>
      <c r="E979" s="267"/>
      <c r="F979" s="267"/>
      <c r="G979" s="267"/>
      <c r="H979" s="267"/>
      <c r="I979" s="267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>
      <c r="C980" s="267"/>
      <c r="D980" s="267"/>
      <c r="E980" s="267"/>
      <c r="F980" s="267"/>
      <c r="G980" s="267"/>
      <c r="H980" s="267"/>
      <c r="I980" s="267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>
      <c r="C981" s="267"/>
      <c r="D981" s="267"/>
      <c r="E981" s="267"/>
      <c r="F981" s="267"/>
      <c r="G981" s="267"/>
      <c r="H981" s="267"/>
      <c r="I981" s="267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>
      <c r="C982" s="267"/>
      <c r="D982" s="267"/>
      <c r="E982" s="267"/>
      <c r="F982" s="267"/>
      <c r="G982" s="267"/>
      <c r="H982" s="267"/>
      <c r="I982" s="267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9.88"/>
    <col customWidth="1" min="4" max="4" width="7.25"/>
    <col customWidth="1" min="5" max="5" width="14.63"/>
    <col customWidth="1" min="10" max="10" width="20.88"/>
    <col customWidth="1" min="11" max="11" width="8.38"/>
  </cols>
  <sheetData>
    <row r="3">
      <c r="B3" s="21" t="s">
        <v>18</v>
      </c>
      <c r="C3" s="22"/>
      <c r="D3" s="21" t="s">
        <v>19</v>
      </c>
      <c r="F3" s="57">
        <v>0.9</v>
      </c>
      <c r="L3" s="247" t="s">
        <v>387</v>
      </c>
    </row>
    <row r="4">
      <c r="B4" s="25" t="s">
        <v>21</v>
      </c>
      <c r="C4" s="25" t="s">
        <v>22</v>
      </c>
      <c r="D4" s="15" t="s">
        <v>12</v>
      </c>
      <c r="E4" s="247" t="s">
        <v>388</v>
      </c>
      <c r="F4" s="247" t="s">
        <v>389</v>
      </c>
      <c r="G4" s="247" t="s">
        <v>390</v>
      </c>
      <c r="H4" s="247" t="s">
        <v>23</v>
      </c>
      <c r="I4" s="303"/>
      <c r="J4" s="247" t="s">
        <v>391</v>
      </c>
      <c r="K4" s="247" t="s">
        <v>392</v>
      </c>
    </row>
    <row r="5">
      <c r="B5" s="28">
        <v>1.0</v>
      </c>
      <c r="C5" s="29" t="s">
        <v>25</v>
      </c>
      <c r="D5" s="30">
        <v>60000.0</v>
      </c>
      <c r="E5" s="304">
        <f>Valuation!D14</f>
        <v>0.8554897764</v>
      </c>
      <c r="F5" s="57">
        <v>0.9</v>
      </c>
      <c r="G5" s="305">
        <f t="shared" ref="G5:G15" si="1">E5*(1-F5)</f>
        <v>0.08554897764</v>
      </c>
      <c r="H5" s="266">
        <f t="shared" ref="H5:H15" si="2">G5*D5</f>
        <v>5132.938658</v>
      </c>
      <c r="J5" s="291">
        <v>5572.74558153551</v>
      </c>
      <c r="K5" s="305">
        <f t="shared" ref="K5:K15" si="3">J5-H5</f>
        <v>439.8069231</v>
      </c>
    </row>
    <row r="6">
      <c r="B6" s="28">
        <v>2.0</v>
      </c>
      <c r="C6" s="29" t="s">
        <v>27</v>
      </c>
      <c r="D6" s="30">
        <v>60000.0</v>
      </c>
      <c r="E6" s="305">
        <f t="shared" ref="E6:E15" si="4">E5</f>
        <v>0.8554897764</v>
      </c>
      <c r="F6" s="57">
        <v>0.9</v>
      </c>
      <c r="G6" s="305">
        <f t="shared" si="1"/>
        <v>0.08554897764</v>
      </c>
      <c r="H6" s="266">
        <f t="shared" si="2"/>
        <v>5132.938658</v>
      </c>
      <c r="J6" s="291">
        <v>5572.74558153551</v>
      </c>
      <c r="K6" s="305">
        <f t="shared" si="3"/>
        <v>439.8069231</v>
      </c>
    </row>
    <row r="7">
      <c r="B7" s="28">
        <v>3.0</v>
      </c>
      <c r="C7" s="29" t="s">
        <v>29</v>
      </c>
      <c r="D7" s="30">
        <v>35000.0</v>
      </c>
      <c r="E7" s="305">
        <f t="shared" si="4"/>
        <v>0.8554897764</v>
      </c>
      <c r="F7" s="57">
        <v>0.9</v>
      </c>
      <c r="G7" s="305">
        <f t="shared" si="1"/>
        <v>0.08554897764</v>
      </c>
      <c r="H7" s="266">
        <f t="shared" si="2"/>
        <v>2994.214217</v>
      </c>
      <c r="J7" s="291">
        <v>4572.564149667984</v>
      </c>
      <c r="K7" s="305">
        <f t="shared" si="3"/>
        <v>1578.349932</v>
      </c>
    </row>
    <row r="8">
      <c r="B8" s="28">
        <v>4.0</v>
      </c>
      <c r="C8" s="33" t="s">
        <v>31</v>
      </c>
      <c r="D8" s="30">
        <v>40000.0</v>
      </c>
      <c r="E8" s="305">
        <f t="shared" si="4"/>
        <v>0.8554897764</v>
      </c>
      <c r="F8" s="57">
        <v>0.9</v>
      </c>
      <c r="G8" s="305">
        <f t="shared" si="1"/>
        <v>0.08554897764</v>
      </c>
      <c r="H8" s="266">
        <f t="shared" si="2"/>
        <v>3421.959106</v>
      </c>
      <c r="J8" s="291">
        <v>4923.612274940267</v>
      </c>
      <c r="K8" s="305">
        <f t="shared" si="3"/>
        <v>1501.653169</v>
      </c>
    </row>
    <row r="9">
      <c r="B9" s="28">
        <v>5.0</v>
      </c>
      <c r="C9" s="33" t="s">
        <v>34</v>
      </c>
      <c r="D9" s="30">
        <v>40000.0</v>
      </c>
      <c r="E9" s="305">
        <f t="shared" si="4"/>
        <v>0.8554897764</v>
      </c>
      <c r="F9" s="57">
        <v>0.9</v>
      </c>
      <c r="G9" s="305">
        <f t="shared" si="1"/>
        <v>0.08554897764</v>
      </c>
      <c r="H9" s="266">
        <f t="shared" si="2"/>
        <v>3421.959106</v>
      </c>
      <c r="J9" s="291">
        <v>3778.750351579666</v>
      </c>
      <c r="K9" s="305">
        <f t="shared" si="3"/>
        <v>356.791246</v>
      </c>
    </row>
    <row r="10">
      <c r="B10" s="28">
        <v>6.0</v>
      </c>
      <c r="C10" s="29" t="s">
        <v>36</v>
      </c>
      <c r="D10" s="30">
        <v>26000.0</v>
      </c>
      <c r="E10" s="305">
        <f t="shared" si="4"/>
        <v>0.8554897764</v>
      </c>
      <c r="F10" s="57">
        <v>0.9</v>
      </c>
      <c r="G10" s="305">
        <f t="shared" si="1"/>
        <v>0.08554897764</v>
      </c>
      <c r="H10" s="266">
        <f t="shared" si="2"/>
        <v>2224.273419</v>
      </c>
      <c r="J10" s="291">
        <v>2846.067991815133</v>
      </c>
      <c r="K10" s="305">
        <f t="shared" si="3"/>
        <v>621.7945732</v>
      </c>
    </row>
    <row r="11">
      <c r="B11" s="28">
        <v>7.0</v>
      </c>
      <c r="C11" s="33" t="s">
        <v>39</v>
      </c>
      <c r="D11" s="30">
        <v>25000.0</v>
      </c>
      <c r="E11" s="305">
        <f t="shared" si="4"/>
        <v>0.8554897764</v>
      </c>
      <c r="F11" s="57">
        <v>0.9</v>
      </c>
      <c r="G11" s="305">
        <f t="shared" si="1"/>
        <v>0.08554897764</v>
      </c>
      <c r="H11" s="266">
        <f t="shared" si="2"/>
        <v>2138.724441</v>
      </c>
      <c r="J11" s="291">
        <v>2720.575693773822</v>
      </c>
      <c r="K11" s="305">
        <f t="shared" si="3"/>
        <v>581.8512528</v>
      </c>
    </row>
    <row r="12">
      <c r="B12" s="28">
        <v>9.0</v>
      </c>
      <c r="C12" s="33" t="s">
        <v>43</v>
      </c>
      <c r="D12" s="30">
        <v>20000.0</v>
      </c>
      <c r="E12" s="305">
        <f t="shared" si="4"/>
        <v>0.8554897764</v>
      </c>
      <c r="F12" s="57">
        <v>0.9</v>
      </c>
      <c r="G12" s="305">
        <f t="shared" si="1"/>
        <v>0.08554897764</v>
      </c>
      <c r="H12" s="266">
        <f t="shared" si="2"/>
        <v>1710.979553</v>
      </c>
      <c r="J12" s="305">
        <v>2689.7132117962124</v>
      </c>
      <c r="K12" s="305">
        <f t="shared" si="3"/>
        <v>978.733659</v>
      </c>
    </row>
    <row r="13">
      <c r="B13" s="28">
        <v>12.0</v>
      </c>
      <c r="C13" s="28" t="s">
        <v>45</v>
      </c>
      <c r="D13" s="30">
        <v>20000.0</v>
      </c>
      <c r="E13" s="305">
        <f t="shared" si="4"/>
        <v>0.8554897764</v>
      </c>
      <c r="F13" s="57">
        <v>0.9</v>
      </c>
      <c r="G13" s="305">
        <f t="shared" si="1"/>
        <v>0.08554897764</v>
      </c>
      <c r="H13" s="266">
        <f t="shared" si="2"/>
        <v>1710.979553</v>
      </c>
      <c r="J13" s="305">
        <v>2655.1946351398824</v>
      </c>
      <c r="K13" s="305">
        <f t="shared" si="3"/>
        <v>944.2150823</v>
      </c>
    </row>
    <row r="14">
      <c r="B14" s="28">
        <v>13.0</v>
      </c>
      <c r="C14" s="37" t="s">
        <v>47</v>
      </c>
      <c r="D14" s="30">
        <v>20000.0</v>
      </c>
      <c r="E14" s="305">
        <f t="shared" si="4"/>
        <v>0.8554897764</v>
      </c>
      <c r="F14" s="57">
        <v>0.9</v>
      </c>
      <c r="G14" s="305">
        <f t="shared" si="1"/>
        <v>0.08554897764</v>
      </c>
      <c r="H14" s="266">
        <f t="shared" si="2"/>
        <v>1710.979553</v>
      </c>
      <c r="J14" s="305">
        <v>2445.1709066819567</v>
      </c>
      <c r="K14" s="305">
        <f t="shared" si="3"/>
        <v>734.1913539</v>
      </c>
    </row>
    <row r="15">
      <c r="B15" s="28">
        <v>14.0</v>
      </c>
      <c r="C15" s="33" t="s">
        <v>49</v>
      </c>
      <c r="D15" s="30">
        <v>20000.0</v>
      </c>
      <c r="E15" s="305">
        <f t="shared" si="4"/>
        <v>0.8554897764</v>
      </c>
      <c r="F15" s="57">
        <v>0.9</v>
      </c>
      <c r="G15" s="305">
        <f t="shared" si="1"/>
        <v>0.08554897764</v>
      </c>
      <c r="H15" s="266">
        <f t="shared" si="2"/>
        <v>1710.979553</v>
      </c>
      <c r="J15" s="305">
        <v>2882.1246496811314</v>
      </c>
      <c r="K15" s="305">
        <f t="shared" si="3"/>
        <v>1171.145097</v>
      </c>
    </row>
    <row r="16">
      <c r="B16" s="28"/>
    </row>
    <row r="20">
      <c r="G20" s="287"/>
      <c r="H20" s="288"/>
      <c r="I20" s="274"/>
      <c r="J20" s="289"/>
      <c r="K20" s="289"/>
      <c r="L20" s="289"/>
      <c r="M20" s="290"/>
      <c r="N20" s="291"/>
    </row>
    <row r="21">
      <c r="G21" s="287"/>
      <c r="H21" s="288"/>
      <c r="I21" s="274"/>
      <c r="J21" s="289"/>
      <c r="K21" s="289"/>
      <c r="L21" s="289"/>
      <c r="M21" s="290"/>
      <c r="N21" s="291"/>
    </row>
    <row r="22">
      <c r="G22" s="287"/>
      <c r="H22" s="288"/>
      <c r="I22" s="274"/>
      <c r="J22" s="289"/>
      <c r="K22" s="289"/>
      <c r="L22" s="289"/>
      <c r="M22" s="290"/>
      <c r="N22" s="291"/>
    </row>
    <row r="23">
      <c r="G23" s="287"/>
      <c r="H23" s="288"/>
      <c r="I23" s="274"/>
      <c r="J23" s="289"/>
      <c r="K23" s="289"/>
      <c r="L23" s="289"/>
      <c r="M23" s="290"/>
      <c r="N23" s="291"/>
    </row>
    <row r="24">
      <c r="G24" s="287"/>
      <c r="H24" s="288"/>
      <c r="I24" s="274"/>
      <c r="J24" s="289"/>
      <c r="K24" s="299"/>
      <c r="L24" s="297"/>
      <c r="M24" s="290"/>
      <c r="N24" s="291"/>
    </row>
    <row r="25">
      <c r="G25" s="287"/>
      <c r="H25" s="288"/>
      <c r="I25" s="274"/>
      <c r="J25" s="289"/>
      <c r="K25" s="289"/>
      <c r="L25" s="289"/>
      <c r="M25" s="290"/>
      <c r="N25" s="291"/>
    </row>
    <row r="26">
      <c r="G26" s="287"/>
      <c r="H26" s="288"/>
      <c r="I26" s="274"/>
      <c r="J26" s="289"/>
      <c r="K26" s="289"/>
      <c r="L26" s="289"/>
      <c r="M26" s="290"/>
      <c r="N26" s="291"/>
    </row>
    <row r="27">
      <c r="G27" s="287"/>
      <c r="H27" s="293"/>
      <c r="I27" s="297"/>
      <c r="J27" s="297"/>
      <c r="K27" s="299"/>
      <c r="L27" s="299"/>
      <c r="M27" s="290"/>
      <c r="N27" s="291"/>
    </row>
    <row r="28">
      <c r="G28" s="287"/>
      <c r="H28" s="288"/>
      <c r="I28" s="274"/>
      <c r="J28" s="289"/>
      <c r="K28" s="289"/>
      <c r="L28" s="289"/>
      <c r="M28" s="290"/>
      <c r="N28" s="291"/>
    </row>
    <row r="29">
      <c r="G29" s="287"/>
      <c r="H29" s="293"/>
      <c r="I29" s="297"/>
      <c r="J29" s="297"/>
      <c r="K29" s="299"/>
      <c r="L29" s="299"/>
      <c r="M29" s="290"/>
      <c r="N29" s="291"/>
    </row>
    <row r="30">
      <c r="G30" s="287"/>
      <c r="H30" s="293"/>
      <c r="I30" s="297"/>
      <c r="J30" s="297"/>
      <c r="K30" s="299"/>
      <c r="L30" s="299"/>
      <c r="M30" s="290"/>
      <c r="N30" s="291"/>
    </row>
    <row r="31">
      <c r="G31" s="287"/>
      <c r="H31" s="288"/>
      <c r="I31" s="274"/>
      <c r="J31" s="289"/>
      <c r="K31" s="289"/>
      <c r="L31" s="289"/>
      <c r="M31" s="290"/>
      <c r="N31" s="291"/>
    </row>
    <row r="32">
      <c r="G32" s="287"/>
      <c r="H32" s="288"/>
      <c r="I32" s="274"/>
      <c r="J32" s="289"/>
      <c r="K32" s="289"/>
      <c r="L32" s="289"/>
      <c r="M32" s="290"/>
      <c r="N32" s="291"/>
    </row>
    <row r="33">
      <c r="G33" s="287"/>
      <c r="H33" s="288"/>
      <c r="I33" s="274"/>
      <c r="J33" s="289"/>
      <c r="K33" s="289"/>
      <c r="L33" s="289"/>
      <c r="M33" s="290"/>
      <c r="N33" s="291"/>
    </row>
    <row r="34">
      <c r="G34" s="287"/>
      <c r="H34" s="288"/>
      <c r="I34" s="274"/>
      <c r="J34" s="289"/>
      <c r="K34" s="289"/>
      <c r="L34" s="289"/>
      <c r="M34" s="290"/>
      <c r="N34" s="291"/>
    </row>
  </sheetData>
  <drawing r:id="rId1"/>
</worksheet>
</file>